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ze\MyDocs\CFRM\CFRM503\2025\Assignments\Final Project\Part 1 Solution\"/>
    </mc:Choice>
  </mc:AlternateContent>
  <xr:revisionPtr revIDLastSave="0" documentId="13_ncr:1_{7D739B2C-A858-4682-90DF-49C6B9276435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FinalProject_Part1_Calcul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6" i="1" l="1"/>
  <c r="E205" i="1"/>
  <c r="E204" i="1"/>
  <c r="E102" i="1"/>
  <c r="E101" i="1"/>
  <c r="E100" i="1"/>
  <c r="E99" i="1"/>
  <c r="E217" i="1"/>
  <c r="D217" i="1"/>
  <c r="B217" i="1"/>
  <c r="F206" i="1"/>
  <c r="D206" i="1"/>
  <c r="C206" i="1"/>
  <c r="B206" i="1"/>
  <c r="F205" i="1"/>
  <c r="D205" i="1"/>
  <c r="C205" i="1"/>
  <c r="B205" i="1"/>
  <c r="F204" i="1"/>
  <c r="D204" i="1"/>
  <c r="C204" i="1"/>
  <c r="B204" i="1"/>
  <c r="F203" i="1"/>
  <c r="D203" i="1"/>
  <c r="C203" i="1"/>
  <c r="B203" i="1"/>
  <c r="E183" i="1"/>
  <c r="F183" i="1"/>
  <c r="D183" i="1"/>
  <c r="C183" i="1"/>
  <c r="B183" i="1"/>
  <c r="F182" i="1"/>
  <c r="D182" i="1"/>
  <c r="C182" i="1"/>
  <c r="B182" i="1"/>
  <c r="F161" i="1"/>
  <c r="D161" i="1"/>
  <c r="C161" i="1"/>
  <c r="B161" i="1"/>
  <c r="E142" i="1"/>
  <c r="E141" i="1"/>
  <c r="F142" i="1"/>
  <c r="D142" i="1"/>
  <c r="C142" i="1"/>
  <c r="B142" i="1"/>
  <c r="F141" i="1"/>
  <c r="D141" i="1"/>
  <c r="C141" i="1"/>
  <c r="B141" i="1"/>
  <c r="F140" i="1"/>
  <c r="D140" i="1"/>
  <c r="C140" i="1"/>
  <c r="B140" i="1"/>
  <c r="E120" i="1"/>
  <c r="F120" i="1"/>
  <c r="D120" i="1"/>
  <c r="C120" i="1"/>
  <c r="B120" i="1"/>
  <c r="F119" i="1"/>
  <c r="D119" i="1"/>
  <c r="C119" i="1"/>
  <c r="B119" i="1"/>
  <c r="B102" i="1"/>
  <c r="B101" i="1"/>
  <c r="B100" i="1"/>
  <c r="B99" i="1"/>
  <c r="B98" i="1"/>
  <c r="B78" i="1"/>
  <c r="B77" i="1"/>
  <c r="B59" i="1"/>
  <c r="B58" i="1"/>
  <c r="B57" i="1"/>
  <c r="B56" i="1"/>
  <c r="F102" i="1"/>
  <c r="D102" i="1"/>
  <c r="C102" i="1"/>
  <c r="F101" i="1"/>
  <c r="D101" i="1"/>
  <c r="C101" i="1"/>
  <c r="F100" i="1"/>
  <c r="D100" i="1"/>
  <c r="C100" i="1"/>
  <c r="F99" i="1"/>
  <c r="D99" i="1"/>
  <c r="C99" i="1"/>
  <c r="F98" i="1"/>
  <c r="D98" i="1"/>
  <c r="C98" i="1"/>
  <c r="E78" i="1"/>
  <c r="F78" i="1"/>
  <c r="D78" i="1"/>
  <c r="C78" i="1"/>
  <c r="F77" i="1"/>
  <c r="D77" i="1"/>
  <c r="C77" i="1"/>
  <c r="E70" i="1"/>
  <c r="D70" i="1"/>
  <c r="C70" i="1"/>
  <c r="F70" i="1" s="1"/>
  <c r="B70" i="1"/>
  <c r="E59" i="1"/>
  <c r="E58" i="1"/>
  <c r="E57" i="1"/>
  <c r="F59" i="1"/>
  <c r="D59" i="1"/>
  <c r="C59" i="1"/>
  <c r="F58" i="1"/>
  <c r="D58" i="1"/>
  <c r="C58" i="1"/>
  <c r="F57" i="1"/>
  <c r="D57" i="1"/>
  <c r="C57" i="1"/>
  <c r="F56" i="1"/>
  <c r="D56" i="1"/>
  <c r="C56" i="1"/>
  <c r="E56" i="1"/>
  <c r="D43" i="1"/>
  <c r="D42" i="1"/>
  <c r="C43" i="1"/>
  <c r="C42" i="1"/>
  <c r="D36" i="1"/>
  <c r="C36" i="1"/>
  <c r="D35" i="1"/>
  <c r="C35" i="1"/>
  <c r="Z24" i="1"/>
  <c r="Y24" i="1"/>
  <c r="Z14" i="1"/>
  <c r="Y14" i="1"/>
  <c r="Y6" i="1"/>
  <c r="Z6" i="1"/>
  <c r="N27" i="1"/>
  <c r="M27" i="1"/>
  <c r="N25" i="1"/>
  <c r="M25" i="1"/>
  <c r="N24" i="1"/>
  <c r="M24" i="1"/>
  <c r="N21" i="1"/>
  <c r="M21" i="1"/>
  <c r="N19" i="1"/>
  <c r="M19" i="1"/>
  <c r="N14" i="1"/>
  <c r="M14" i="1"/>
  <c r="N12" i="1"/>
  <c r="M12" i="1"/>
  <c r="N8" i="1"/>
  <c r="M8" i="1"/>
  <c r="N6" i="1"/>
  <c r="M6" i="1"/>
  <c r="K6" i="1" a="1"/>
  <c r="K6" i="1" s="1"/>
  <c r="I27" i="1"/>
  <c r="I25" i="1"/>
  <c r="I24" i="1"/>
  <c r="I21" i="1"/>
  <c r="I19" i="1"/>
  <c r="I6" i="1"/>
  <c r="I14" i="1"/>
  <c r="I12" i="1"/>
  <c r="O12" i="1" s="1"/>
  <c r="I8" i="1"/>
  <c r="K10" i="1" l="1"/>
  <c r="K29" i="1"/>
  <c r="K28" i="1"/>
  <c r="K27" i="1"/>
  <c r="K25" i="1"/>
  <c r="P25" i="1" s="1"/>
  <c r="K24" i="1"/>
  <c r="P24" i="1" s="1"/>
  <c r="K23" i="1"/>
  <c r="K22" i="1"/>
  <c r="K21" i="1"/>
  <c r="K9" i="1"/>
  <c r="K16" i="1"/>
  <c r="K15" i="1"/>
  <c r="K26" i="1"/>
  <c r="K14" i="1"/>
  <c r="K12" i="1"/>
  <c r="K11" i="1"/>
  <c r="K20" i="1"/>
  <c r="K8" i="1"/>
  <c r="K7" i="1"/>
  <c r="F36" i="1" s="1"/>
  <c r="K17" i="1"/>
  <c r="K13" i="1"/>
  <c r="K19" i="1"/>
  <c r="K30" i="1"/>
  <c r="K18" i="1"/>
  <c r="E203" i="1"/>
  <c r="B216" i="1"/>
  <c r="B215" i="1"/>
  <c r="B214" i="1"/>
  <c r="E182" i="1"/>
  <c r="B194" i="1"/>
  <c r="B193" i="1"/>
  <c r="E161" i="1"/>
  <c r="B172" i="1"/>
  <c r="E140" i="1"/>
  <c r="B153" i="1"/>
  <c r="B152" i="1"/>
  <c r="B151" i="1"/>
  <c r="E119" i="1"/>
  <c r="B131" i="1"/>
  <c r="B130" i="1"/>
  <c r="E98" i="1"/>
  <c r="B113" i="1"/>
  <c r="B112" i="1"/>
  <c r="B111" i="1"/>
  <c r="B110" i="1"/>
  <c r="B109" i="1"/>
  <c r="E77" i="1"/>
  <c r="B89" i="1"/>
  <c r="B88" i="1"/>
  <c r="B69" i="1"/>
  <c r="B68" i="1"/>
  <c r="B67" i="1"/>
  <c r="B36" i="1"/>
  <c r="B47" i="1" s="1"/>
  <c r="B35" i="1"/>
  <c r="B46" i="1" s="1"/>
  <c r="F35" i="1"/>
  <c r="E35" i="1"/>
  <c r="E36" i="1" s="1"/>
  <c r="O24" i="1"/>
  <c r="O21" i="1"/>
  <c r="O27" i="1"/>
  <c r="O25" i="1"/>
  <c r="O19" i="1"/>
  <c r="O14" i="1"/>
  <c r="AA14" i="1" s="1"/>
  <c r="O8" i="1"/>
  <c r="O6" i="1"/>
  <c r="AA6" i="1" s="1"/>
  <c r="AA24" i="1" l="1"/>
  <c r="P19" i="1"/>
  <c r="P21" i="1"/>
  <c r="P8" i="1"/>
  <c r="V9" i="1" s="1"/>
  <c r="P27" i="1"/>
  <c r="AB24" i="1" s="1"/>
  <c r="P12" i="1"/>
  <c r="V13" i="1" s="1"/>
  <c r="P14" i="1"/>
  <c r="AB14" i="1" s="1"/>
  <c r="P6" i="1"/>
  <c r="AB6" i="1" s="1"/>
  <c r="C210" i="1"/>
  <c r="D169" i="1"/>
  <c r="C172" i="1" s="1"/>
  <c r="D215" i="1"/>
  <c r="D46" i="1"/>
  <c r="C126" i="1"/>
  <c r="T6" i="1"/>
  <c r="D88" i="1"/>
  <c r="D152" i="1"/>
  <c r="U9" i="1"/>
  <c r="T13" i="1"/>
  <c r="E110" i="1"/>
  <c r="D190" i="1"/>
  <c r="C194" i="1" s="1"/>
  <c r="D47" i="1"/>
  <c r="E46" i="1"/>
  <c r="E111" i="1"/>
  <c r="C147" i="1"/>
  <c r="C168" i="1"/>
  <c r="D210" i="1"/>
  <c r="E47" i="1"/>
  <c r="D67" i="1"/>
  <c r="E131" i="1"/>
  <c r="D148" i="1"/>
  <c r="C189" i="1"/>
  <c r="D214" i="1"/>
  <c r="E214" i="1"/>
  <c r="E215" i="1"/>
  <c r="D194" i="1"/>
  <c r="E194" i="1"/>
  <c r="C190" i="1"/>
  <c r="D193" i="1"/>
  <c r="D189" i="1"/>
  <c r="E193" i="1"/>
  <c r="C169" i="1"/>
  <c r="D172" i="1"/>
  <c r="D168" i="1"/>
  <c r="E172" i="1"/>
  <c r="E152" i="1"/>
  <c r="C148" i="1"/>
  <c r="D151" i="1"/>
  <c r="E151" i="1"/>
  <c r="D131" i="1"/>
  <c r="C127" i="1"/>
  <c r="D130" i="1"/>
  <c r="E130" i="1"/>
  <c r="D105" i="1"/>
  <c r="E112" i="1"/>
  <c r="D112" i="1"/>
  <c r="D111" i="1"/>
  <c r="D110" i="1"/>
  <c r="E88" i="1"/>
  <c r="C84" i="1"/>
  <c r="C85" i="1"/>
  <c r="D64" i="1"/>
  <c r="C69" i="1" s="1"/>
  <c r="E69" i="1"/>
  <c r="D68" i="1"/>
  <c r="D69" i="1"/>
  <c r="C63" i="1"/>
  <c r="E68" i="1"/>
  <c r="E67" i="1"/>
  <c r="D63" i="1"/>
  <c r="C64" i="1"/>
  <c r="S9" i="1"/>
  <c r="S13" i="1"/>
  <c r="U13" i="1"/>
  <c r="T9" i="1"/>
  <c r="S6" i="1"/>
  <c r="U6" i="1"/>
  <c r="C211" i="1" l="1"/>
  <c r="C105" i="1"/>
  <c r="D109" i="1"/>
  <c r="E109" i="1"/>
  <c r="V6" i="1"/>
  <c r="C106" i="1"/>
  <c r="D51" i="1"/>
  <c r="E216" i="1"/>
  <c r="E219" i="1" s="1"/>
  <c r="D211" i="1"/>
  <c r="D216" i="1"/>
  <c r="D219" i="1" s="1"/>
  <c r="F194" i="1"/>
  <c r="D106" i="1"/>
  <c r="C109" i="1" s="1"/>
  <c r="T32" i="1"/>
  <c r="D147" i="1"/>
  <c r="C47" i="1"/>
  <c r="F47" i="1" s="1"/>
  <c r="C46" i="1"/>
  <c r="F46" i="1" s="1"/>
  <c r="U37" i="1"/>
  <c r="T37" i="1"/>
  <c r="C193" i="1"/>
  <c r="F193" i="1" s="1"/>
  <c r="C67" i="1"/>
  <c r="F67" i="1" s="1"/>
  <c r="C152" i="1"/>
  <c r="F152" i="1" s="1"/>
  <c r="C151" i="1"/>
  <c r="F151" i="1" s="1"/>
  <c r="E153" i="1"/>
  <c r="E156" i="1" s="1"/>
  <c r="D153" i="1"/>
  <c r="D156" i="1" s="1"/>
  <c r="E51" i="1"/>
  <c r="C68" i="1"/>
  <c r="C153" i="1"/>
  <c r="D198" i="1"/>
  <c r="E198" i="1"/>
  <c r="E177" i="1"/>
  <c r="F172" i="1"/>
  <c r="D177" i="1"/>
  <c r="D113" i="1"/>
  <c r="E113" i="1"/>
  <c r="D89" i="1"/>
  <c r="E89" i="1"/>
  <c r="E72" i="1"/>
  <c r="D72" i="1"/>
  <c r="F69" i="1"/>
  <c r="Y33" i="1"/>
  <c r="Y32" i="1"/>
  <c r="S33" i="1"/>
  <c r="S32" i="1"/>
  <c r="AA37" i="1"/>
  <c r="Z37" i="1"/>
  <c r="Z36" i="1"/>
  <c r="Z32" i="1"/>
  <c r="Z33" i="1"/>
  <c r="Y37" i="1" s="1"/>
  <c r="AA36" i="1"/>
  <c r="Z38" i="1"/>
  <c r="AA38" i="1"/>
  <c r="U36" i="1"/>
  <c r="T36" i="1"/>
  <c r="T33" i="1"/>
  <c r="S37" i="1" s="1"/>
  <c r="T38" i="1"/>
  <c r="U38" i="1"/>
  <c r="C215" i="1" l="1"/>
  <c r="F215" i="1" s="1"/>
  <c r="C217" i="1"/>
  <c r="F217" i="1" s="1"/>
  <c r="C111" i="1"/>
  <c r="F111" i="1" s="1"/>
  <c r="E114" i="1"/>
  <c r="D114" i="1"/>
  <c r="C214" i="1"/>
  <c r="F214" i="1" s="1"/>
  <c r="F219" i="1" s="1"/>
  <c r="C216" i="1"/>
  <c r="F216" i="1" s="1"/>
  <c r="F109" i="1"/>
  <c r="C72" i="1"/>
  <c r="F153" i="1"/>
  <c r="F156" i="1" s="1"/>
  <c r="F198" i="1"/>
  <c r="C112" i="1"/>
  <c r="F112" i="1" s="1"/>
  <c r="C110" i="1"/>
  <c r="F110" i="1" s="1"/>
  <c r="C113" i="1"/>
  <c r="F113" i="1" s="1"/>
  <c r="F68" i="1"/>
  <c r="F72" i="1" s="1"/>
  <c r="C156" i="1"/>
  <c r="C198" i="1"/>
  <c r="V37" i="1"/>
  <c r="C51" i="1"/>
  <c r="F51" i="1"/>
  <c r="C219" i="1"/>
  <c r="F177" i="1"/>
  <c r="C177" i="1"/>
  <c r="D135" i="1"/>
  <c r="E135" i="1"/>
  <c r="D126" i="1"/>
  <c r="D127" i="1"/>
  <c r="D85" i="1"/>
  <c r="Z39" i="1"/>
  <c r="AA39" i="1"/>
  <c r="U39" i="1"/>
  <c r="AB37" i="1"/>
  <c r="S38" i="1"/>
  <c r="V38" i="1" s="1"/>
  <c r="T39" i="1"/>
  <c r="S36" i="1"/>
  <c r="Y36" i="1"/>
  <c r="Y38" i="1"/>
  <c r="AB38" i="1" s="1"/>
  <c r="C114" i="1" l="1"/>
  <c r="F114" i="1"/>
  <c r="C88" i="1"/>
  <c r="F88" i="1" s="1"/>
  <c r="C89" i="1"/>
  <c r="F89" i="1" s="1"/>
  <c r="C130" i="1"/>
  <c r="C131" i="1"/>
  <c r="F131" i="1" s="1"/>
  <c r="D93" i="1"/>
  <c r="E93" i="1"/>
  <c r="D84" i="1"/>
  <c r="V36" i="1"/>
  <c r="V39" i="1" s="1"/>
  <c r="S39" i="1"/>
  <c r="AB36" i="1"/>
  <c r="AB39" i="1" s="1"/>
  <c r="Y39" i="1"/>
  <c r="F130" i="1" l="1"/>
  <c r="F135" i="1" s="1"/>
  <c r="C135" i="1"/>
  <c r="F93" i="1"/>
  <c r="C93" i="1"/>
</calcChain>
</file>

<file path=xl/sharedStrings.xml><?xml version="1.0" encoding="utf-8"?>
<sst xmlns="http://schemas.openxmlformats.org/spreadsheetml/2006/main" count="297" uniqueCount="106">
  <si>
    <t>Name</t>
  </si>
  <si>
    <t>Ticker</t>
  </si>
  <si>
    <t>Style</t>
  </si>
  <si>
    <t>weight_B</t>
  </si>
  <si>
    <t>weight_A</t>
  </si>
  <si>
    <t>R1000B</t>
  </si>
  <si>
    <t>CIBC Atlas Disciplined Equity Fund</t>
  </si>
  <si>
    <t>AWEIX</t>
  </si>
  <si>
    <t>Columbia Select Large Cap Equity Fund</t>
  </si>
  <si>
    <t>NSEPX</t>
  </si>
  <si>
    <t>AMG Montrusco Bolton Large Cap Growth Fund</t>
  </si>
  <si>
    <t>MCGFX</t>
  </si>
  <si>
    <t>R1000V</t>
  </si>
  <si>
    <t>Alger Responsible Investing Fund</t>
  </si>
  <si>
    <t>SPEGX</t>
  </si>
  <si>
    <t>American Century Focused Dynamic Growth Fund</t>
  </si>
  <si>
    <t>ACFSX</t>
  </si>
  <si>
    <t>Ave Maria Growth Fund</t>
  </si>
  <si>
    <t>AVEGX</t>
  </si>
  <si>
    <t>BlackRock Large Cap Focus Value Fund</t>
  </si>
  <si>
    <t>MABAX</t>
  </si>
  <si>
    <t>R1000G</t>
  </si>
  <si>
    <t>Boston Partners All Cap Value Fund</t>
  </si>
  <si>
    <t>BPAIX</t>
  </si>
  <si>
    <t>Harbor Small Cap Value Fund</t>
  </si>
  <si>
    <t>HASCX</t>
  </si>
  <si>
    <t>R2000B</t>
  </si>
  <si>
    <t>Hartford Schroders US Small Cap Opps Fund</t>
  </si>
  <si>
    <t>SCUIX</t>
  </si>
  <si>
    <t>Hennessy Cornerstone Growth Fund</t>
  </si>
  <si>
    <t>HFCGX</t>
  </si>
  <si>
    <t>Highland Small Cap Equity Fund</t>
  </si>
  <si>
    <t>HSZYX</t>
  </si>
  <si>
    <t>Homestead Small Company Stock Fund</t>
  </si>
  <si>
    <t>HSCSX</t>
  </si>
  <si>
    <t>JP Morgan Small Cap Value Fund</t>
  </si>
  <si>
    <t>PSOPX</t>
  </si>
  <si>
    <t>R2000V</t>
  </si>
  <si>
    <t>James Micro Cap Fund</t>
  </si>
  <si>
    <t>JMCRX</t>
  </si>
  <si>
    <t>Lord Abbett Alpha Strategy Fund</t>
  </si>
  <si>
    <t>ALFAX</t>
  </si>
  <si>
    <t>R2000G</t>
  </si>
  <si>
    <t>Lord Abbett Developing Growth Fund</t>
  </si>
  <si>
    <t>LAGWX</t>
  </si>
  <si>
    <t>Lord Abbett Micro Cap Growth Fund</t>
  </si>
  <si>
    <t>LMIYX</t>
  </si>
  <si>
    <t>Davenport Equity Opportunities Fund</t>
  </si>
  <si>
    <t>DEOPX</t>
  </si>
  <si>
    <t>RMidB</t>
  </si>
  <si>
    <t>Fidelity Mid Cap Value Fund</t>
  </si>
  <si>
    <t>FSMVX</t>
  </si>
  <si>
    <t>RMidV</t>
  </si>
  <si>
    <t>Franklin Mutual U.S. Value Fund</t>
  </si>
  <si>
    <t>FRBSX</t>
  </si>
  <si>
    <t>Goldman Sachs Mid Cap Growth Fund</t>
  </si>
  <si>
    <t>GGOIX</t>
  </si>
  <si>
    <t>RMidG</t>
  </si>
  <si>
    <t>Great-West T. Rowe Price Mid Cap Growth Fund</t>
  </si>
  <si>
    <t>MXMGX</t>
  </si>
  <si>
    <t>Guggenheim StylePlus - Mid Growth Fund</t>
  </si>
  <si>
    <t>SECUX</t>
  </si>
  <si>
    <t>Blend</t>
  </si>
  <si>
    <t>Value</t>
  </si>
  <si>
    <t>Growth</t>
  </si>
  <si>
    <t>Large</t>
  </si>
  <si>
    <t>Mid</t>
  </si>
  <si>
    <t>Small</t>
  </si>
  <si>
    <t>IWB</t>
  </si>
  <si>
    <t>Fund Returns</t>
  </si>
  <si>
    <t>return_B</t>
  </si>
  <si>
    <t>return_A</t>
  </si>
  <si>
    <t>Benchmark Returns</t>
  </si>
  <si>
    <t>IWM</t>
  </si>
  <si>
    <t>IWN</t>
  </si>
  <si>
    <t>IWO</t>
  </si>
  <si>
    <t>IWD</t>
  </si>
  <si>
    <t>IWF</t>
  </si>
  <si>
    <t>IWR</t>
  </si>
  <si>
    <t>IWS</t>
  </si>
  <si>
    <t>IWP</t>
  </si>
  <si>
    <t>Style Components</t>
  </si>
  <si>
    <t>Style/Tier Portfolio Segments</t>
  </si>
  <si>
    <t>Size Components</t>
  </si>
  <si>
    <t>Mid Cap</t>
  </si>
  <si>
    <t>w_A</t>
  </si>
  <si>
    <t>w_B</t>
  </si>
  <si>
    <t>r_A</t>
  </si>
  <si>
    <t>r_B</t>
  </si>
  <si>
    <t>Segment Effect</t>
  </si>
  <si>
    <t>Security Selection Effect</t>
  </si>
  <si>
    <t>Interaction</t>
  </si>
  <si>
    <t>Total</t>
  </si>
  <si>
    <t>Security Selection</t>
  </si>
  <si>
    <t>Large Blend</t>
  </si>
  <si>
    <t>Large Value</t>
  </si>
  <si>
    <t>Large Growth</t>
  </si>
  <si>
    <t>Small Blend</t>
  </si>
  <si>
    <t>Small Value</t>
  </si>
  <si>
    <t>Small Growth</t>
  </si>
  <si>
    <t>MidCap Blend</t>
  </si>
  <si>
    <t>MidCap Value</t>
  </si>
  <si>
    <t>MidCap Growth</t>
  </si>
  <si>
    <t>ARK Innovation ETF</t>
  </si>
  <si>
    <t>ARKK</t>
  </si>
  <si>
    <t>Returns for December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</si>
</sst>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9" fontId="0" fillId="0" borderId="0" xfId="0" applyNumberFormat="1"/>
    <xf numFmtId="0" fontId="0" fillId="36" borderId="0" xfId="0" applyFill="1"/>
    <xf numFmtId="0" fontId="0" fillId="36" borderId="0" xfId="0" applyFill="1" applyAlignment="1">
      <alignment horizontal="right"/>
    </xf>
    <xf numFmtId="0" fontId="0" fillId="0" borderId="0" xfId="0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6" fillId="0" borderId="10" xfId="0" applyFont="1" applyBorder="1"/>
    <xf numFmtId="0" fontId="16" fillId="0" borderId="0" xfId="0" applyFont="1"/>
    <xf numFmtId="0" fontId="0" fillId="33" borderId="0" xfId="0" applyFill="1" applyAlignment="1">
      <alignment horizontal="right"/>
    </xf>
    <xf numFmtId="0" fontId="0" fillId="34" borderId="0" xfId="0" applyFill="1" applyAlignment="1">
      <alignment horizontal="right"/>
    </xf>
    <xf numFmtId="0" fontId="0" fillId="35" borderId="0" xfId="0" applyFill="1" applyAlignment="1">
      <alignment horizontal="right"/>
    </xf>
    <xf numFmtId="17" fontId="0" fillId="0" borderId="0" xfId="0" applyNumberFormat="1"/>
    <xf numFmtId="0" fontId="0" fillId="35" borderId="18" xfId="0" applyFill="1" applyBorder="1"/>
    <xf numFmtId="0" fontId="0" fillId="0" borderId="18" xfId="0" applyBorder="1"/>
    <xf numFmtId="0" fontId="0" fillId="0" borderId="20" xfId="0" applyBorder="1"/>
    <xf numFmtId="0" fontId="0" fillId="0" borderId="19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9"/>
  <sheetViews>
    <sheetView tabSelected="1" topLeftCell="K27" zoomScaleNormal="100" workbookViewId="0">
      <selection activeCell="K6" sqref="K6"/>
    </sheetView>
  </sheetViews>
  <sheetFormatPr defaultRowHeight="14.5" x14ac:dyDescent="0.35"/>
  <cols>
    <col min="2" max="2" width="44.36328125" customWidth="1"/>
    <col min="3" max="6" width="12.1796875" bestFit="1" customWidth="1"/>
    <col min="11" max="29" width="13.08984375" customWidth="1"/>
  </cols>
  <sheetData>
    <row r="1" spans="1:35" x14ac:dyDescent="0.35">
      <c r="B1" t="s">
        <v>73</v>
      </c>
      <c r="C1" t="s">
        <v>74</v>
      </c>
      <c r="D1" t="s">
        <v>75</v>
      </c>
      <c r="E1" t="s">
        <v>68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7</v>
      </c>
      <c r="L1" t="s">
        <v>9</v>
      </c>
      <c r="M1" t="s">
        <v>11</v>
      </c>
      <c r="N1" t="s">
        <v>14</v>
      </c>
      <c r="O1" t="s">
        <v>16</v>
      </c>
      <c r="P1" t="s">
        <v>18</v>
      </c>
      <c r="Q1" t="s">
        <v>20</v>
      </c>
      <c r="R1" t="s">
        <v>23</v>
      </c>
      <c r="S1" t="s">
        <v>25</v>
      </c>
      <c r="T1" t="s">
        <v>28</v>
      </c>
      <c r="U1" t="s">
        <v>30</v>
      </c>
      <c r="V1" t="s">
        <v>32</v>
      </c>
      <c r="W1" t="s">
        <v>34</v>
      </c>
      <c r="X1" t="s">
        <v>36</v>
      </c>
      <c r="Y1" t="s">
        <v>39</v>
      </c>
      <c r="Z1" t="s">
        <v>41</v>
      </c>
      <c r="AA1" t="s">
        <v>44</v>
      </c>
      <c r="AB1" t="s">
        <v>46</v>
      </c>
      <c r="AC1" t="s">
        <v>48</v>
      </c>
      <c r="AD1" t="s">
        <v>51</v>
      </c>
      <c r="AE1" t="s">
        <v>54</v>
      </c>
      <c r="AF1" t="s">
        <v>56</v>
      </c>
      <c r="AG1" t="s">
        <v>59</v>
      </c>
      <c r="AH1" t="s">
        <v>61</v>
      </c>
      <c r="AI1" t="s">
        <v>104</v>
      </c>
    </row>
    <row r="2" spans="1:35" x14ac:dyDescent="0.35">
      <c r="A2" s="22">
        <v>45627</v>
      </c>
      <c r="B2">
        <v>-8.7453979096761794E-2</v>
      </c>
      <c r="C2">
        <v>-8.8958676933682895E-2</v>
      </c>
      <c r="D2">
        <v>-8.7948411615173194E-2</v>
      </c>
      <c r="E2">
        <v>-2.8642264022880899E-2</v>
      </c>
      <c r="F2">
        <v>-7.1066524064303305E-2</v>
      </c>
      <c r="G2">
        <v>9.0177583721861906E-3</v>
      </c>
      <c r="H2">
        <v>-7.3440528839153696E-2</v>
      </c>
      <c r="I2">
        <v>-7.5953483675488598E-2</v>
      </c>
      <c r="J2">
        <v>-6.4168359284839896E-2</v>
      </c>
      <c r="K2">
        <v>-2.94280540066949E-2</v>
      </c>
      <c r="L2">
        <v>-1.40056919788118E-2</v>
      </c>
      <c r="M2">
        <v>-1.54675804023955E-2</v>
      </c>
      <c r="N2">
        <v>-1.8011765066900099E-2</v>
      </c>
      <c r="O2">
        <v>8.6642203951432795E-3</v>
      </c>
      <c r="P2">
        <v>-4.76909627491049E-2</v>
      </c>
      <c r="Q2">
        <v>-5.7461795253739997E-2</v>
      </c>
      <c r="R2">
        <v>-5.8602565554053299E-2</v>
      </c>
      <c r="S2">
        <v>-7.8294000490968199E-2</v>
      </c>
      <c r="T2">
        <v>-6.0356875918417499E-2</v>
      </c>
      <c r="U2">
        <v>-8.9487831310888596E-2</v>
      </c>
      <c r="V2">
        <v>-6.1637871916626202E-2</v>
      </c>
      <c r="W2">
        <v>-7.54657656642643E-2</v>
      </c>
      <c r="X2">
        <v>-8.5531688159954294E-2</v>
      </c>
      <c r="Y2">
        <v>-8.3174840913020201E-2</v>
      </c>
      <c r="Z2">
        <v>-6.6883948253725997E-2</v>
      </c>
      <c r="AA2">
        <v>-7.1043407345708298E-2</v>
      </c>
      <c r="AB2">
        <v>-5.0994919206362802E-2</v>
      </c>
      <c r="AC2">
        <v>-7.7667254416698098E-2</v>
      </c>
      <c r="AD2">
        <v>-7.9037529435223797E-2</v>
      </c>
      <c r="AE2">
        <v>-7.8960806042673595E-2</v>
      </c>
      <c r="AF2">
        <v>-6.9420915578466497E-2</v>
      </c>
      <c r="AG2">
        <v>-5.1620691752874502E-2</v>
      </c>
      <c r="AH2">
        <v>-7.5722593691481099E-2</v>
      </c>
      <c r="AI2">
        <v>-2.1090090352196601E-2</v>
      </c>
    </row>
    <row r="3" spans="1:35" x14ac:dyDescent="0.35">
      <c r="A3" s="22"/>
    </row>
    <row r="4" spans="1:35" x14ac:dyDescent="0.35">
      <c r="H4" s="18" t="s">
        <v>105</v>
      </c>
      <c r="M4" s="5" t="s">
        <v>82</v>
      </c>
      <c r="N4" s="5"/>
      <c r="O4" s="5"/>
      <c r="P4" s="5"/>
      <c r="R4" s="5"/>
      <c r="S4" s="5" t="s">
        <v>81</v>
      </c>
      <c r="T4" s="5"/>
      <c r="U4" s="5"/>
      <c r="V4" s="5"/>
      <c r="X4" s="5"/>
      <c r="Y4" s="5" t="s">
        <v>83</v>
      </c>
      <c r="Z4" s="5"/>
      <c r="AA4" s="5"/>
      <c r="AB4" s="5"/>
    </row>
    <row r="5" spans="1:35" x14ac:dyDescent="0.35">
      <c r="B5" t="s">
        <v>0</v>
      </c>
      <c r="C5" t="s">
        <v>1</v>
      </c>
      <c r="D5" t="s">
        <v>2</v>
      </c>
      <c r="E5" t="s">
        <v>3</v>
      </c>
      <c r="F5" t="s">
        <v>4</v>
      </c>
      <c r="I5" t="s">
        <v>72</v>
      </c>
      <c r="K5" t="s">
        <v>69</v>
      </c>
      <c r="M5" s="5" t="s">
        <v>3</v>
      </c>
      <c r="N5" s="5" t="s">
        <v>4</v>
      </c>
      <c r="O5" s="5" t="s">
        <v>70</v>
      </c>
      <c r="P5" s="5" t="s">
        <v>71</v>
      </c>
      <c r="R5" s="5"/>
      <c r="S5" s="5" t="s">
        <v>3</v>
      </c>
      <c r="T5" s="5" t="s">
        <v>4</v>
      </c>
      <c r="U5" s="5" t="s">
        <v>70</v>
      </c>
      <c r="V5" s="5" t="s">
        <v>71</v>
      </c>
      <c r="X5" s="5"/>
      <c r="Y5" s="5" t="s">
        <v>3</v>
      </c>
      <c r="Z5" s="5" t="s">
        <v>4</v>
      </c>
      <c r="AA5" s="5" t="s">
        <v>70</v>
      </c>
      <c r="AB5" s="5" t="s">
        <v>71</v>
      </c>
    </row>
    <row r="6" spans="1:35" x14ac:dyDescent="0.35">
      <c r="A6">
        <v>1</v>
      </c>
      <c r="B6" s="1" t="s">
        <v>6</v>
      </c>
      <c r="C6" s="1" t="s">
        <v>7</v>
      </c>
      <c r="D6" s="1" t="s">
        <v>5</v>
      </c>
      <c r="E6" s="1">
        <v>0.12</v>
      </c>
      <c r="F6" s="1">
        <v>0.1</v>
      </c>
      <c r="G6" s="4"/>
      <c r="H6" s="1" t="s">
        <v>68</v>
      </c>
      <c r="I6">
        <f>E2</f>
        <v>-2.8642264022880899E-2</v>
      </c>
      <c r="K6" s="1">
        <f t="array" ref="K6:K30">TRANSPOSE(K2:AI2)</f>
        <v>-2.94280540066949E-2</v>
      </c>
      <c r="M6" s="5">
        <f>SUM(E6:E7)</f>
        <v>0.24</v>
      </c>
      <c r="N6" s="5">
        <f>SUM(F6:F7)</f>
        <v>0.15000000000000002</v>
      </c>
      <c r="O6" s="5">
        <f>I6</f>
        <v>-2.8642264022880899E-2</v>
      </c>
      <c r="P6" s="5">
        <f>SUMPRODUCT(F6:F7,K6:K7)/SUM(F6:F7)</f>
        <v>-2.4287266664067199E-2</v>
      </c>
      <c r="R6" s="19" t="s">
        <v>62</v>
      </c>
      <c r="S6" s="5">
        <f>M6+M14+M24</f>
        <v>0.41499999999999998</v>
      </c>
      <c r="T6" s="5">
        <f>N6+N14+N24</f>
        <v>0.34</v>
      </c>
      <c r="U6" s="5">
        <f>(M6*O6+M14*O14+M24*O24)/(M6+M14+M24)</f>
        <v>-5.1754017336251387E-2</v>
      </c>
      <c r="V6" s="5">
        <f>(N6*P6+N14*P14+N24*P24)/(N6+N14+N24)</f>
        <v>-5.3454778814275773E-2</v>
      </c>
      <c r="X6" s="5" t="s">
        <v>65</v>
      </c>
      <c r="Y6" s="5">
        <f>SUM(M6:M13)</f>
        <v>0.70199999999999996</v>
      </c>
      <c r="Z6" s="5">
        <f>SUM(N6:N13)</f>
        <v>0.46</v>
      </c>
      <c r="AA6" s="5">
        <f>SUMPRODUCT(M6:M13,O6:O13)/SUM(M6:M13)</f>
        <v>-3.0324063422801938E-2</v>
      </c>
      <c r="AB6" s="5">
        <f>SUMPRODUCT(N6:N13,P6:P13)/SUM(N6:N13)</f>
        <v>-2.9160511828435862E-2</v>
      </c>
    </row>
    <row r="7" spans="1:35" x14ac:dyDescent="0.35">
      <c r="A7">
        <v>2</v>
      </c>
      <c r="B7" s="1" t="s">
        <v>8</v>
      </c>
      <c r="C7" s="1" t="s">
        <v>9</v>
      </c>
      <c r="D7" s="1" t="s">
        <v>5</v>
      </c>
      <c r="E7" s="1">
        <v>0.12</v>
      </c>
      <c r="F7" s="1">
        <v>0.05</v>
      </c>
      <c r="G7" s="4"/>
      <c r="K7" s="1">
        <v>-1.40056919788118E-2</v>
      </c>
      <c r="M7" s="5"/>
      <c r="N7" s="5"/>
      <c r="O7" s="5"/>
      <c r="P7" s="5"/>
      <c r="R7" s="6"/>
      <c r="S7" s="5"/>
      <c r="T7" s="5"/>
      <c r="U7" s="5"/>
      <c r="V7" s="5"/>
      <c r="X7" s="5"/>
      <c r="Y7" s="5"/>
      <c r="Z7" s="5"/>
      <c r="AA7" s="5"/>
      <c r="AB7" s="5"/>
    </row>
    <row r="8" spans="1:35" x14ac:dyDescent="0.35">
      <c r="A8">
        <v>3</v>
      </c>
      <c r="B8" s="2" t="s">
        <v>10</v>
      </c>
      <c r="C8" s="2" t="s">
        <v>11</v>
      </c>
      <c r="D8" s="2" t="s">
        <v>12</v>
      </c>
      <c r="E8" s="2">
        <v>5.8000000000000003E-2</v>
      </c>
      <c r="F8" s="2">
        <v>0.06</v>
      </c>
      <c r="G8" s="4"/>
      <c r="H8" s="2" t="s">
        <v>76</v>
      </c>
      <c r="I8">
        <f>F2</f>
        <v>-7.1066524064303305E-2</v>
      </c>
      <c r="K8" s="2">
        <v>-1.54675804023955E-2</v>
      </c>
      <c r="M8" s="5">
        <f>SUM(E8:E11)</f>
        <v>0.23200000000000001</v>
      </c>
      <c r="N8" s="5">
        <f>SUM(F8:F11)</f>
        <v>0.24</v>
      </c>
      <c r="O8" s="5">
        <f>I8</f>
        <v>-7.1066524064303305E-2</v>
      </c>
      <c r="P8" s="5">
        <f>SUMPRODUCT(F8:F11,K8:K11)/SUM(F8:F11)</f>
        <v>-2.3809152769580073E-2</v>
      </c>
      <c r="R8" s="6"/>
      <c r="S8" s="5"/>
      <c r="T8" s="5"/>
      <c r="U8" s="5"/>
      <c r="V8" s="5"/>
      <c r="X8" s="5"/>
      <c r="Y8" s="5"/>
      <c r="Z8" s="5"/>
      <c r="AA8" s="5"/>
      <c r="AB8" s="5"/>
    </row>
    <row r="9" spans="1:35" x14ac:dyDescent="0.35">
      <c r="A9">
        <v>4</v>
      </c>
      <c r="B9" s="2" t="s">
        <v>13</v>
      </c>
      <c r="C9" s="2" t="s">
        <v>14</v>
      </c>
      <c r="D9" s="2" t="s">
        <v>12</v>
      </c>
      <c r="E9" s="2">
        <v>5.8000000000000003E-2</v>
      </c>
      <c r="F9" s="2">
        <v>0.09</v>
      </c>
      <c r="K9" s="2">
        <v>-1.8011765066900099E-2</v>
      </c>
      <c r="M9" s="5"/>
      <c r="N9" s="5"/>
      <c r="O9" s="5"/>
      <c r="P9" s="5"/>
      <c r="R9" s="20" t="s">
        <v>63</v>
      </c>
      <c r="S9" s="5">
        <f>M8+M19+M25</f>
        <v>0.29000000000000004</v>
      </c>
      <c r="T9" s="5">
        <f>N8+N19+N25</f>
        <v>0.38999999999999996</v>
      </c>
      <c r="U9" s="5">
        <f>(M8*O8+M19*O19+M25*O25)/(M8+M19+M25)</f>
        <v>-7.3120207842390927E-2</v>
      </c>
      <c r="V9" s="5">
        <f>(N8*P8+N19*P19+N25*P25)/(N8+N19+N25)</f>
        <v>-4.6058163204491784E-2</v>
      </c>
      <c r="X9" s="5"/>
      <c r="Y9" s="5"/>
      <c r="Z9" s="5"/>
      <c r="AA9" s="5"/>
      <c r="AB9" s="5"/>
    </row>
    <row r="10" spans="1:35" x14ac:dyDescent="0.35">
      <c r="A10">
        <v>5</v>
      </c>
      <c r="B10" s="2" t="s">
        <v>15</v>
      </c>
      <c r="C10" s="2" t="s">
        <v>16</v>
      </c>
      <c r="D10" s="2" t="s">
        <v>12</v>
      </c>
      <c r="E10" s="2">
        <v>5.8000000000000003E-2</v>
      </c>
      <c r="F10" s="2">
        <v>0.02</v>
      </c>
      <c r="K10" s="2">
        <v>8.6642203951432795E-3</v>
      </c>
      <c r="M10" s="5"/>
      <c r="N10" s="5"/>
      <c r="O10" s="5"/>
      <c r="P10" s="5"/>
      <c r="R10" s="6"/>
      <c r="S10" s="5"/>
      <c r="T10" s="5"/>
      <c r="U10" s="5"/>
      <c r="V10" s="5"/>
      <c r="X10" s="5"/>
      <c r="Y10" s="5"/>
      <c r="Z10" s="5"/>
      <c r="AA10" s="5"/>
      <c r="AB10" s="5"/>
    </row>
    <row r="11" spans="1:35" x14ac:dyDescent="0.35">
      <c r="A11">
        <v>6</v>
      </c>
      <c r="B11" s="2" t="s">
        <v>17</v>
      </c>
      <c r="C11" s="2" t="s">
        <v>18</v>
      </c>
      <c r="D11" s="2" t="s">
        <v>12</v>
      </c>
      <c r="E11" s="2">
        <v>5.8000000000000003E-2</v>
      </c>
      <c r="F11" s="2">
        <v>7.0000000000000007E-2</v>
      </c>
      <c r="K11" s="2">
        <v>-4.76909627491049E-2</v>
      </c>
      <c r="M11" s="5"/>
      <c r="N11" s="5"/>
      <c r="O11" s="5"/>
      <c r="P11" s="5"/>
      <c r="R11" s="6"/>
      <c r="S11" s="5"/>
      <c r="T11" s="5"/>
      <c r="U11" s="5"/>
      <c r="V11" s="5"/>
      <c r="X11" s="5"/>
      <c r="Y11" s="5"/>
      <c r="Z11" s="5"/>
      <c r="AA11" s="5"/>
      <c r="AB11" s="5"/>
    </row>
    <row r="12" spans="1:35" x14ac:dyDescent="0.35">
      <c r="A12">
        <v>7</v>
      </c>
      <c r="B12" s="3" t="s">
        <v>19</v>
      </c>
      <c r="C12" s="3" t="s">
        <v>20</v>
      </c>
      <c r="D12" s="3" t="s">
        <v>21</v>
      </c>
      <c r="E12" s="3">
        <v>0.115</v>
      </c>
      <c r="F12" s="3">
        <v>0.04</v>
      </c>
      <c r="H12" s="3" t="s">
        <v>77</v>
      </c>
      <c r="I12">
        <f>G2</f>
        <v>9.0177583721861906E-3</v>
      </c>
      <c r="K12" s="3">
        <v>-5.7461795253739997E-2</v>
      </c>
      <c r="M12" s="5">
        <f>SUM(E12:E13)</f>
        <v>0.23</v>
      </c>
      <c r="N12" s="5">
        <f>SUM(F12:F13)</f>
        <v>7.0000000000000007E-2</v>
      </c>
      <c r="O12" s="5">
        <f>I12</f>
        <v>9.0177583721861906E-3</v>
      </c>
      <c r="P12" s="5">
        <f>SUMPRODUCT(F12:F13,K12:K13)/SUM(F12:F13)</f>
        <v>-5.7950696811017118E-2</v>
      </c>
      <c r="R12" s="6"/>
      <c r="S12" s="5"/>
      <c r="T12" s="5"/>
      <c r="U12" s="5"/>
      <c r="V12" s="5"/>
      <c r="X12" s="5"/>
      <c r="Y12" s="5"/>
      <c r="Z12" s="5"/>
      <c r="AA12" s="5"/>
      <c r="AB12" s="5"/>
    </row>
    <row r="13" spans="1:35" x14ac:dyDescent="0.35">
      <c r="A13">
        <v>8</v>
      </c>
      <c r="B13" s="23" t="s">
        <v>22</v>
      </c>
      <c r="C13" s="23" t="s">
        <v>23</v>
      </c>
      <c r="D13" s="23" t="s">
        <v>21</v>
      </c>
      <c r="E13" s="23">
        <v>0.115</v>
      </c>
      <c r="F13" s="23">
        <v>0.03</v>
      </c>
      <c r="G13" s="24"/>
      <c r="H13" s="24"/>
      <c r="I13" s="24"/>
      <c r="J13" s="24"/>
      <c r="K13" s="23">
        <v>-5.8602565554053299E-2</v>
      </c>
      <c r="M13" s="5"/>
      <c r="N13" s="5"/>
      <c r="O13" s="5"/>
      <c r="P13" s="5"/>
      <c r="R13" s="21" t="s">
        <v>64</v>
      </c>
      <c r="S13" s="5">
        <f>M12+M21+M27</f>
        <v>0.29500000000000004</v>
      </c>
      <c r="T13" s="5">
        <f>N12+N21+N27</f>
        <v>0.27</v>
      </c>
      <c r="U13" s="5">
        <f>(M12*O12+M21*O21+M27*O27)/(M12+M21+M27)</f>
        <v>-9.7681378129246387E-3</v>
      </c>
      <c r="V13" s="5">
        <f>(N12*P12+N21*P21+N27*P27)/(N12+N21+N27)</f>
        <v>-5.3771446656619711E-2</v>
      </c>
      <c r="X13" s="5"/>
      <c r="Y13" s="5"/>
      <c r="Z13" s="5"/>
      <c r="AA13" s="5"/>
      <c r="AB13" s="5"/>
    </row>
    <row r="14" spans="1:35" x14ac:dyDescent="0.35">
      <c r="A14">
        <v>9</v>
      </c>
      <c r="B14" s="1" t="s">
        <v>24</v>
      </c>
      <c r="C14" s="1" t="s">
        <v>25</v>
      </c>
      <c r="D14" s="1" t="s">
        <v>26</v>
      </c>
      <c r="E14" s="1">
        <v>2.5000000000000001E-2</v>
      </c>
      <c r="F14" s="1">
        <v>3.0000000000000001E-3</v>
      </c>
      <c r="H14" s="1" t="s">
        <v>73</v>
      </c>
      <c r="I14">
        <f>B2</f>
        <v>-8.7453979096761794E-2</v>
      </c>
      <c r="K14" s="1">
        <v>-7.8294000490968199E-2</v>
      </c>
      <c r="M14" s="5">
        <f>SUM(E14:E18)</f>
        <v>0.125</v>
      </c>
      <c r="N14" s="5">
        <f>SUM(F14:F18)</f>
        <v>3.6000000000000004E-2</v>
      </c>
      <c r="O14" s="5">
        <f>I14</f>
        <v>-8.7453979096761794E-2</v>
      </c>
      <c r="P14" s="5">
        <f>SUMPRODUCT(F14:F18,K14:K18)/SUM(F14:F18)</f>
        <v>-7.1410489363115989E-2</v>
      </c>
      <c r="R14" s="5"/>
      <c r="S14" s="5"/>
      <c r="T14" s="5"/>
      <c r="U14" s="5"/>
      <c r="V14" s="5"/>
      <c r="X14" s="5" t="s">
        <v>67</v>
      </c>
      <c r="Y14" s="5">
        <f>SUM(M14:M23)</f>
        <v>0.182</v>
      </c>
      <c r="Z14" s="5">
        <f>SUM(N14:N23)</f>
        <v>0.246</v>
      </c>
      <c r="AA14" s="5">
        <f>SUMPRODUCT(M14:M23,O14:O23)/SUM(M14:M23)</f>
        <v>-8.7742050641782032E-2</v>
      </c>
      <c r="AB14" s="5">
        <f>SUMPRODUCT(N14:N23,P14:P23)/SUM(N14:N23)</f>
        <v>-7.1218199448745564E-2</v>
      </c>
    </row>
    <row r="15" spans="1:35" x14ac:dyDescent="0.35">
      <c r="A15">
        <v>10</v>
      </c>
      <c r="B15" s="1" t="s">
        <v>27</v>
      </c>
      <c r="C15" s="1" t="s">
        <v>28</v>
      </c>
      <c r="D15" s="1" t="s">
        <v>26</v>
      </c>
      <c r="E15" s="1">
        <v>2.5000000000000001E-2</v>
      </c>
      <c r="F15" s="1">
        <v>2E-3</v>
      </c>
      <c r="K15" s="1">
        <v>-6.0356875918417499E-2</v>
      </c>
      <c r="M15" s="5"/>
      <c r="N15" s="5"/>
      <c r="O15" s="5"/>
      <c r="P15" s="5"/>
      <c r="R15" s="5"/>
      <c r="S15" s="5"/>
      <c r="T15" s="5"/>
      <c r="U15" s="5"/>
      <c r="V15" s="5"/>
      <c r="X15" s="5"/>
      <c r="Y15" s="5"/>
      <c r="Z15" s="5"/>
      <c r="AA15" s="5"/>
      <c r="AB15" s="5"/>
    </row>
    <row r="16" spans="1:35" x14ac:dyDescent="0.35">
      <c r="A16">
        <v>11</v>
      </c>
      <c r="B16" s="1" t="s">
        <v>29</v>
      </c>
      <c r="C16" s="1" t="s">
        <v>30</v>
      </c>
      <c r="D16" s="1" t="s">
        <v>26</v>
      </c>
      <c r="E16" s="1">
        <v>2.5000000000000001E-2</v>
      </c>
      <c r="F16" s="1">
        <v>1E-3</v>
      </c>
      <c r="K16" s="1">
        <v>-8.9487831310888596E-2</v>
      </c>
      <c r="M16" s="5"/>
      <c r="N16" s="5"/>
      <c r="O16" s="5"/>
      <c r="P16" s="5"/>
      <c r="R16" s="5"/>
      <c r="S16" s="5"/>
      <c r="T16" s="5"/>
      <c r="U16" s="5"/>
      <c r="V16" s="5"/>
      <c r="X16" s="5"/>
      <c r="Y16" s="5"/>
      <c r="Z16" s="5"/>
      <c r="AA16" s="5"/>
      <c r="AB16" s="5"/>
    </row>
    <row r="17" spans="1:28" x14ac:dyDescent="0.35">
      <c r="A17">
        <v>12</v>
      </c>
      <c r="B17" s="1" t="s">
        <v>31</v>
      </c>
      <c r="C17" s="1" t="s">
        <v>32</v>
      </c>
      <c r="D17" s="1" t="s">
        <v>26</v>
      </c>
      <c r="E17" s="1">
        <v>2.5000000000000001E-2</v>
      </c>
      <c r="F17" s="1">
        <v>0.01</v>
      </c>
      <c r="K17" s="1">
        <v>-6.1637871916626202E-2</v>
      </c>
      <c r="M17" s="5"/>
      <c r="N17" s="5"/>
      <c r="O17" s="5"/>
      <c r="P17" s="5"/>
      <c r="R17" s="5"/>
      <c r="S17" s="5"/>
      <c r="T17" s="5"/>
      <c r="U17" s="5"/>
      <c r="V17" s="5"/>
      <c r="X17" s="5"/>
      <c r="Y17" s="5"/>
      <c r="Z17" s="5"/>
      <c r="AA17" s="5"/>
      <c r="AB17" s="5"/>
    </row>
    <row r="18" spans="1:28" x14ac:dyDescent="0.35">
      <c r="A18">
        <v>13</v>
      </c>
      <c r="B18" s="1" t="s">
        <v>33</v>
      </c>
      <c r="C18" s="1" t="s">
        <v>34</v>
      </c>
      <c r="D18" s="1" t="s">
        <v>26</v>
      </c>
      <c r="E18" s="1">
        <v>2.5000000000000001E-2</v>
      </c>
      <c r="F18" s="1">
        <v>0.02</v>
      </c>
      <c r="K18" s="1">
        <v>-7.54657656642643E-2</v>
      </c>
      <c r="M18" s="5"/>
      <c r="N18" s="5"/>
      <c r="O18" s="5"/>
      <c r="P18" s="5"/>
      <c r="R18" s="5"/>
      <c r="S18" s="5"/>
      <c r="T18" s="5"/>
      <c r="U18" s="5"/>
      <c r="V18" s="5"/>
      <c r="X18" s="5"/>
      <c r="Y18" s="5"/>
      <c r="Z18" s="5"/>
      <c r="AA18" s="5"/>
      <c r="AB18" s="5"/>
    </row>
    <row r="19" spans="1:28" x14ac:dyDescent="0.35">
      <c r="A19">
        <v>14</v>
      </c>
      <c r="B19" s="2" t="s">
        <v>35</v>
      </c>
      <c r="C19" s="2" t="s">
        <v>36</v>
      </c>
      <c r="D19" s="2" t="s">
        <v>37</v>
      </c>
      <c r="E19" s="2">
        <v>1.2E-2</v>
      </c>
      <c r="F19" s="2">
        <v>0.01</v>
      </c>
      <c r="H19" s="2" t="s">
        <v>74</v>
      </c>
      <c r="I19">
        <f>C2</f>
        <v>-8.8958676933682895E-2</v>
      </c>
      <c r="K19" s="2">
        <v>-8.5531688159954294E-2</v>
      </c>
      <c r="M19" s="5">
        <f>SUM(E19:E20)</f>
        <v>2.4E-2</v>
      </c>
      <c r="N19" s="5">
        <f>SUM(F19:F20)</f>
        <v>0.09</v>
      </c>
      <c r="O19" s="5">
        <f>I19</f>
        <v>-8.8958676933682895E-2</v>
      </c>
      <c r="P19" s="5">
        <f>SUMPRODUCT(F19:F20,K19:K20)/SUM(F19:F20)</f>
        <v>-8.3436712829346213E-2</v>
      </c>
      <c r="R19" s="5"/>
      <c r="S19" s="5"/>
      <c r="T19" s="5"/>
      <c r="U19" s="5"/>
      <c r="V19" s="5"/>
      <c r="X19" s="5"/>
      <c r="Y19" s="5"/>
      <c r="Z19" s="5"/>
      <c r="AA19" s="5"/>
      <c r="AB19" s="5"/>
    </row>
    <row r="20" spans="1:28" x14ac:dyDescent="0.35">
      <c r="A20">
        <v>15</v>
      </c>
      <c r="B20" s="2" t="s">
        <v>38</v>
      </c>
      <c r="C20" s="2" t="s">
        <v>39</v>
      </c>
      <c r="D20" s="2" t="s">
        <v>37</v>
      </c>
      <c r="E20" s="2">
        <v>1.2E-2</v>
      </c>
      <c r="F20" s="2">
        <v>0.08</v>
      </c>
      <c r="K20" s="2">
        <v>-8.3174840913020201E-2</v>
      </c>
      <c r="M20" s="5"/>
      <c r="N20" s="5"/>
      <c r="O20" s="5"/>
      <c r="P20" s="5"/>
      <c r="R20" s="5"/>
      <c r="S20" s="5"/>
      <c r="T20" s="5"/>
      <c r="U20" s="5"/>
      <c r="V20" s="5"/>
      <c r="X20" s="5"/>
      <c r="Y20" s="5"/>
      <c r="Z20" s="5"/>
      <c r="AA20" s="5"/>
      <c r="AB20" s="5"/>
    </row>
    <row r="21" spans="1:28" x14ac:dyDescent="0.35">
      <c r="A21">
        <v>16</v>
      </c>
      <c r="B21" s="3" t="s">
        <v>40</v>
      </c>
      <c r="C21" s="3" t="s">
        <v>41</v>
      </c>
      <c r="D21" s="3" t="s">
        <v>42</v>
      </c>
      <c r="E21" s="3">
        <v>1.0999999999999999E-2</v>
      </c>
      <c r="F21" s="3">
        <v>0.02</v>
      </c>
      <c r="H21" s="3" t="s">
        <v>75</v>
      </c>
      <c r="I21">
        <f>D2</f>
        <v>-8.7948411615173194E-2</v>
      </c>
      <c r="K21" s="3">
        <v>-6.6883948253725997E-2</v>
      </c>
      <c r="M21" s="5">
        <f>SUM(E21:E23)</f>
        <v>3.3000000000000002E-2</v>
      </c>
      <c r="N21" s="5">
        <f>SUM(F21:F23)</f>
        <v>0.12000000000000001</v>
      </c>
      <c r="O21" s="5">
        <f>I21</f>
        <v>-8.7948411615173194E-2</v>
      </c>
      <c r="P21" s="5">
        <f>SUMPRODUCT(F21:F23,K21:K23)/SUM(F21:F23)</f>
        <v>-6.1996627438983952E-2</v>
      </c>
      <c r="R21" s="5"/>
      <c r="S21" s="5"/>
      <c r="T21" s="5"/>
      <c r="U21" s="5"/>
      <c r="V21" s="5"/>
      <c r="X21" s="5"/>
      <c r="Y21" s="5"/>
      <c r="Z21" s="5"/>
      <c r="AA21" s="5"/>
      <c r="AB21" s="5"/>
    </row>
    <row r="22" spans="1:28" x14ac:dyDescent="0.35">
      <c r="A22">
        <v>17</v>
      </c>
      <c r="B22" s="3" t="s">
        <v>43</v>
      </c>
      <c r="C22" s="3" t="s">
        <v>44</v>
      </c>
      <c r="D22" s="3" t="s">
        <v>42</v>
      </c>
      <c r="E22" s="3">
        <v>1.0999999999999999E-2</v>
      </c>
      <c r="F22" s="3">
        <v>0.05</v>
      </c>
      <c r="K22" s="3">
        <v>-7.1043407345708298E-2</v>
      </c>
      <c r="M22" s="5"/>
      <c r="N22" s="5"/>
      <c r="O22" s="5"/>
      <c r="P22" s="5"/>
      <c r="R22" s="5"/>
      <c r="S22" s="5"/>
      <c r="T22" s="5"/>
      <c r="U22" s="5"/>
      <c r="V22" s="5"/>
      <c r="X22" s="5"/>
      <c r="Y22" s="5"/>
      <c r="Z22" s="5"/>
      <c r="AA22" s="5"/>
      <c r="AB22" s="5"/>
    </row>
    <row r="23" spans="1:28" x14ac:dyDescent="0.35">
      <c r="A23">
        <v>18</v>
      </c>
      <c r="B23" s="23" t="s">
        <v>45</v>
      </c>
      <c r="C23" s="23" t="s">
        <v>46</v>
      </c>
      <c r="D23" s="23" t="s">
        <v>42</v>
      </c>
      <c r="E23" s="23">
        <v>1.0999999999999999E-2</v>
      </c>
      <c r="F23" s="23">
        <v>0.05</v>
      </c>
      <c r="G23" s="24"/>
      <c r="H23" s="24"/>
      <c r="I23" s="24"/>
      <c r="J23" s="24"/>
      <c r="K23" s="23">
        <v>-5.0994919206362802E-2</v>
      </c>
      <c r="M23" s="5"/>
      <c r="N23" s="5"/>
      <c r="O23" s="5"/>
      <c r="P23" s="5"/>
      <c r="R23" s="5"/>
      <c r="S23" s="5"/>
      <c r="T23" s="5"/>
      <c r="U23" s="5"/>
      <c r="V23" s="5"/>
      <c r="X23" s="5"/>
      <c r="Y23" s="5"/>
      <c r="Z23" s="5"/>
      <c r="AA23" s="5"/>
      <c r="AB23" s="5"/>
    </row>
    <row r="24" spans="1:28" x14ac:dyDescent="0.35">
      <c r="A24">
        <v>19</v>
      </c>
      <c r="B24" s="1" t="s">
        <v>47</v>
      </c>
      <c r="C24" s="1" t="s">
        <v>48</v>
      </c>
      <c r="D24" s="1" t="s">
        <v>49</v>
      </c>
      <c r="E24" s="1">
        <v>0.05</v>
      </c>
      <c r="F24" s="1">
        <v>0.154</v>
      </c>
      <c r="H24" s="1" t="s">
        <v>78</v>
      </c>
      <c r="I24">
        <f>H2</f>
        <v>-7.3440528839153696E-2</v>
      </c>
      <c r="K24" s="1">
        <v>-7.7667254416698098E-2</v>
      </c>
      <c r="M24" s="5">
        <f>E24</f>
        <v>0.05</v>
      </c>
      <c r="N24" s="5">
        <f>F24</f>
        <v>0.154</v>
      </c>
      <c r="O24" s="5">
        <f>I24</f>
        <v>-7.3440528839153696E-2</v>
      </c>
      <c r="P24" s="5">
        <f>K24</f>
        <v>-7.7667254416698098E-2</v>
      </c>
      <c r="R24" s="5"/>
      <c r="S24" s="5"/>
      <c r="T24" s="5"/>
      <c r="U24" s="5"/>
      <c r="V24" s="5"/>
      <c r="X24" s="5" t="s">
        <v>84</v>
      </c>
      <c r="Y24" s="5">
        <f>SUM(M24:M30)</f>
        <v>0.11600000000000001</v>
      </c>
      <c r="Z24" s="5">
        <f>SUM(N24:N30)</f>
        <v>0.29399999999999998</v>
      </c>
      <c r="AA24" s="5">
        <f>SUMPRODUCT(M24:M30,O24:O30)/SUM(M24:M30)</f>
        <v>-7.1619244689992881E-2</v>
      </c>
      <c r="AB24" s="5">
        <f>SUMPRODUCT(N24:N30,P24:P30)/SUM(N24:N30)</f>
        <v>-6.7081927001431896E-2</v>
      </c>
    </row>
    <row r="25" spans="1:28" x14ac:dyDescent="0.35">
      <c r="A25">
        <v>20</v>
      </c>
      <c r="B25" s="2" t="s">
        <v>50</v>
      </c>
      <c r="C25" s="2" t="s">
        <v>51</v>
      </c>
      <c r="D25" s="2" t="s">
        <v>52</v>
      </c>
      <c r="E25" s="2">
        <v>1.7000000000000001E-2</v>
      </c>
      <c r="F25" s="2">
        <v>0.02</v>
      </c>
      <c r="H25" s="2" t="s">
        <v>79</v>
      </c>
      <c r="I25">
        <f>I2</f>
        <v>-7.5953483675488598E-2</v>
      </c>
      <c r="K25" s="2">
        <v>-7.9037529435223797E-2</v>
      </c>
      <c r="M25" s="5">
        <f>SUM(E25:E26)</f>
        <v>3.4000000000000002E-2</v>
      </c>
      <c r="N25" s="5">
        <f>SUM(F25:F26)</f>
        <v>0.06</v>
      </c>
      <c r="O25" s="5">
        <f>I25</f>
        <v>-7.5953483675488598E-2</v>
      </c>
      <c r="P25" s="5">
        <f>SUMPRODUCT(F25:F26,K25:K26)/SUM(F25:F26)</f>
        <v>-7.8986380506856996E-2</v>
      </c>
      <c r="R25" s="5"/>
      <c r="S25" s="5"/>
      <c r="T25" s="5"/>
      <c r="U25" s="5"/>
      <c r="V25" s="5"/>
      <c r="X25" s="5"/>
      <c r="Y25" s="5"/>
      <c r="Z25" s="5"/>
      <c r="AA25" s="5"/>
      <c r="AB25" s="5"/>
    </row>
    <row r="26" spans="1:28" x14ac:dyDescent="0.35">
      <c r="A26">
        <v>21</v>
      </c>
      <c r="B26" s="2" t="s">
        <v>53</v>
      </c>
      <c r="C26" s="2" t="s">
        <v>54</v>
      </c>
      <c r="D26" s="2" t="s">
        <v>52</v>
      </c>
      <c r="E26" s="2">
        <v>1.7000000000000001E-2</v>
      </c>
      <c r="F26" s="2">
        <v>0.04</v>
      </c>
      <c r="K26" s="2">
        <v>-7.8960806042673595E-2</v>
      </c>
      <c r="M26" s="5"/>
      <c r="N26" s="5"/>
      <c r="O26" s="5"/>
      <c r="P26" s="5"/>
      <c r="R26" s="5"/>
      <c r="S26" s="5"/>
      <c r="T26" s="5"/>
      <c r="U26" s="5"/>
      <c r="V26" s="5"/>
      <c r="X26" s="5"/>
      <c r="Y26" s="5"/>
      <c r="Z26" s="5"/>
      <c r="AA26" s="5"/>
      <c r="AB26" s="5"/>
    </row>
    <row r="27" spans="1:28" x14ac:dyDescent="0.35">
      <c r="A27">
        <v>22</v>
      </c>
      <c r="B27" s="3" t="s">
        <v>55</v>
      </c>
      <c r="C27" s="3" t="s">
        <v>56</v>
      </c>
      <c r="D27" s="3" t="s">
        <v>57</v>
      </c>
      <c r="E27" s="3">
        <v>8.0000000000000002E-3</v>
      </c>
      <c r="F27" s="3">
        <v>0.01</v>
      </c>
      <c r="H27" s="3" t="s">
        <v>80</v>
      </c>
      <c r="I27">
        <f>J2</f>
        <v>-6.4168359284839896E-2</v>
      </c>
      <c r="K27" s="3">
        <v>-6.9420915578466497E-2</v>
      </c>
      <c r="M27" s="5">
        <f>SUM(E27:E30)</f>
        <v>3.2000000000000001E-2</v>
      </c>
      <c r="N27" s="5">
        <f>SUM(F27:F30)</f>
        <v>0.08</v>
      </c>
      <c r="O27" s="5">
        <f>I27</f>
        <v>-6.4168359284839896E-2</v>
      </c>
      <c r="P27" s="5">
        <f>SUMPRODUCT(F27:F30,K27:K30)/SUM(F27:F30)</f>
        <v>-3.7776831597975638E-2</v>
      </c>
      <c r="R27" s="5"/>
      <c r="S27" s="5"/>
      <c r="T27" s="5"/>
      <c r="U27" s="5"/>
      <c r="V27" s="5"/>
      <c r="X27" s="5"/>
      <c r="Y27" s="5"/>
      <c r="Z27" s="5"/>
      <c r="AA27" s="5"/>
      <c r="AB27" s="5"/>
    </row>
    <row r="28" spans="1:28" x14ac:dyDescent="0.35">
      <c r="A28">
        <v>23</v>
      </c>
      <c r="B28" s="3" t="s">
        <v>58</v>
      </c>
      <c r="C28" s="3" t="s">
        <v>59</v>
      </c>
      <c r="D28" s="3" t="s">
        <v>57</v>
      </c>
      <c r="E28" s="3">
        <v>8.0000000000000002E-3</v>
      </c>
      <c r="F28" s="3">
        <v>0.01</v>
      </c>
      <c r="K28" s="3">
        <v>-5.1620691752874502E-2</v>
      </c>
      <c r="M28" s="5"/>
      <c r="N28" s="5"/>
      <c r="O28" s="5"/>
      <c r="P28" s="5"/>
      <c r="R28" s="5"/>
      <c r="S28" s="5"/>
      <c r="T28" s="5"/>
      <c r="U28" s="5"/>
      <c r="V28" s="5"/>
      <c r="X28" s="5"/>
      <c r="Y28" s="5"/>
      <c r="Z28" s="5"/>
      <c r="AA28" s="5"/>
      <c r="AB28" s="5"/>
    </row>
    <row r="29" spans="1:28" x14ac:dyDescent="0.35">
      <c r="A29">
        <v>24</v>
      </c>
      <c r="B29" s="3" t="s">
        <v>60</v>
      </c>
      <c r="C29" s="3" t="s">
        <v>61</v>
      </c>
      <c r="D29" s="3" t="s">
        <v>57</v>
      </c>
      <c r="E29" s="3">
        <v>8.0000000000000002E-3</v>
      </c>
      <c r="F29" s="3">
        <v>0.01</v>
      </c>
      <c r="K29" s="3">
        <v>-7.5722593691481099E-2</v>
      </c>
      <c r="M29" s="5"/>
      <c r="N29" s="5"/>
      <c r="O29" s="5"/>
      <c r="P29" s="5"/>
      <c r="R29" s="5"/>
      <c r="S29" s="5"/>
      <c r="T29" s="5"/>
      <c r="U29" s="5"/>
      <c r="V29" s="5"/>
      <c r="X29" s="5"/>
      <c r="Y29" s="5"/>
      <c r="Z29" s="5"/>
      <c r="AA29" s="5"/>
      <c r="AB29" s="5"/>
    </row>
    <row r="30" spans="1:28" x14ac:dyDescent="0.35">
      <c r="A30">
        <v>25</v>
      </c>
      <c r="B30" s="3" t="s">
        <v>103</v>
      </c>
      <c r="C30" s="3" t="s">
        <v>104</v>
      </c>
      <c r="D30" s="3" t="s">
        <v>57</v>
      </c>
      <c r="E30" s="3">
        <v>8.0000000000000002E-3</v>
      </c>
      <c r="F30" s="3">
        <v>0.05</v>
      </c>
      <c r="K30" s="3">
        <v>-2.1090090352196601E-2</v>
      </c>
      <c r="M30" s="5"/>
      <c r="N30" s="5"/>
      <c r="O30" s="5"/>
      <c r="P30" s="5"/>
      <c r="R30" s="5"/>
      <c r="S30" s="5"/>
      <c r="T30" s="5"/>
      <c r="U30" s="5"/>
      <c r="V30" s="5"/>
      <c r="X30" s="5"/>
      <c r="Y30" s="5"/>
      <c r="Z30" s="5"/>
      <c r="AA30" s="5"/>
      <c r="AB30" s="5"/>
    </row>
    <row r="31" spans="1:28" x14ac:dyDescent="0.35">
      <c r="S31" t="s">
        <v>87</v>
      </c>
      <c r="T31" t="s">
        <v>88</v>
      </c>
      <c r="Y31" t="s">
        <v>87</v>
      </c>
      <c r="Z31" t="s">
        <v>88</v>
      </c>
    </row>
    <row r="32" spans="1:28" x14ac:dyDescent="0.35">
      <c r="R32" t="s">
        <v>85</v>
      </c>
      <c r="S32">
        <f>SUMPRODUCT(T6:T30,V6:V30)</f>
        <v>-5.0655599043892885E-2</v>
      </c>
      <c r="T32">
        <f>SUMPRODUCT(T6:T30,U6:U30)</f>
        <v>-4.8750644162347583E-2</v>
      </c>
      <c r="X32" t="s">
        <v>85</v>
      </c>
      <c r="Y32">
        <f>SUMPRODUCT(Z6:Z30,AB6:AB30)</f>
        <v>-5.0655599043892885E-2</v>
      </c>
      <c r="Z32">
        <f>SUMPRODUCT(Z6:Z30,AA6:AA30)</f>
        <v>-5.6589671571225172E-2</v>
      </c>
    </row>
    <row r="33" spans="1:35" ht="15" thickBot="1" x14ac:dyDescent="0.4">
      <c r="R33" t="s">
        <v>86</v>
      </c>
      <c r="S33">
        <f>SUMPRODUCT(S6:S30,V6:V30)</f>
        <v>-5.1403177300929886E-2</v>
      </c>
      <c r="T33">
        <f>SUMPRODUCT(S6:S30,U6:U30)</f>
        <v>-4.5564378123650467E-2</v>
      </c>
      <c r="X33" t="s">
        <v>86</v>
      </c>
      <c r="Y33">
        <f>SUMPRODUCT(Y6:Y30,AB6:AB30)</f>
        <v>-4.1213895135399761E-2</v>
      </c>
      <c r="Z33">
        <f>SUMPRODUCT(Y6:Y30,AA6:AA30)</f>
        <v>-4.5564378123650467E-2</v>
      </c>
    </row>
    <row r="34" spans="1:35" s="7" customFormat="1" ht="43.25" customHeight="1" x14ac:dyDescent="0.35">
      <c r="A34"/>
      <c r="B34" s="17" t="s">
        <v>94</v>
      </c>
      <c r="C34" s="8" t="s">
        <v>86</v>
      </c>
      <c r="D34" s="8" t="s">
        <v>85</v>
      </c>
      <c r="E34" s="8" t="s">
        <v>88</v>
      </c>
      <c r="F34" s="9" t="s">
        <v>87</v>
      </c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</row>
    <row r="35" spans="1:35" ht="43.5" x14ac:dyDescent="0.35">
      <c r="A35" s="7"/>
      <c r="B35" s="10" t="str">
        <f>B6</f>
        <v>CIBC Atlas Disciplined Equity Fund</v>
      </c>
      <c r="C35" s="7">
        <f>E6/SUM($E$6:$E$7)</f>
        <v>0.5</v>
      </c>
      <c r="D35" s="7">
        <f>F6/SUM($F$6:$F$7)</f>
        <v>0.66666666666666663</v>
      </c>
      <c r="E35" s="7">
        <f>I6</f>
        <v>-2.8642264022880899E-2</v>
      </c>
      <c r="F35" s="11">
        <f>K6</f>
        <v>-2.94280540066949E-2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 t="s">
        <v>89</v>
      </c>
      <c r="T35" s="7" t="s">
        <v>90</v>
      </c>
      <c r="U35" s="7" t="s">
        <v>91</v>
      </c>
      <c r="V35" s="7" t="s">
        <v>92</v>
      </c>
      <c r="W35" s="7"/>
      <c r="X35" s="7"/>
      <c r="Y35" s="7" t="s">
        <v>89</v>
      </c>
      <c r="Z35" s="7" t="s">
        <v>90</v>
      </c>
      <c r="AA35" s="7" t="s">
        <v>91</v>
      </c>
      <c r="AB35" s="7" t="s">
        <v>92</v>
      </c>
      <c r="AC35" s="7"/>
      <c r="AD35" s="7"/>
      <c r="AE35" s="7"/>
      <c r="AF35" s="7"/>
      <c r="AG35" s="7"/>
      <c r="AH35" s="7"/>
      <c r="AI35" s="7"/>
    </row>
    <row r="36" spans="1:35" x14ac:dyDescent="0.35">
      <c r="B36" s="10" t="str">
        <f>B7</f>
        <v>Columbia Select Large Cap Equity Fund</v>
      </c>
      <c r="C36" s="7">
        <f>E7/SUM($E$6:$E$7)</f>
        <v>0.5</v>
      </c>
      <c r="D36" s="7">
        <f>F7/SUM($F$6:$F$7)</f>
        <v>0.33333333333333331</v>
      </c>
      <c r="E36">
        <f>E35</f>
        <v>-2.8642264022880899E-2</v>
      </c>
      <c r="F36" s="11">
        <f>K7</f>
        <v>-1.40056919788118E-2</v>
      </c>
      <c r="R36" t="s">
        <v>62</v>
      </c>
      <c r="S36">
        <f>(T6-S6)*(U6-$T$33)</f>
        <v>4.6422294094506869E-4</v>
      </c>
      <c r="T36">
        <f>S6*(V6-U6)</f>
        <v>-7.058160133801201E-4</v>
      </c>
      <c r="U36" s="25">
        <f>(T6-S6)*(V6-U6)</f>
        <v>1.2755711085182887E-4</v>
      </c>
      <c r="V36">
        <f>SUM(S36:U36)</f>
        <v>-1.1403596158322254E-4</v>
      </c>
      <c r="X36" t="s">
        <v>65</v>
      </c>
      <c r="Y36">
        <f>(Z6-Y6)*(AA6-$Z$33)</f>
        <v>-3.6881561576053434E-3</v>
      </c>
      <c r="Z36">
        <f>Y6*(AB6-AA6)</f>
        <v>8.1681321924498523E-4</v>
      </c>
      <c r="AA36" s="25">
        <f>(Z6-Y6)*(AB6-AA6)</f>
        <v>-2.8157948583659031E-4</v>
      </c>
      <c r="AB36">
        <f>SUM(Y36:AA36)</f>
        <v>-3.1529224241969482E-3</v>
      </c>
    </row>
    <row r="37" spans="1:35" x14ac:dyDescent="0.35">
      <c r="B37" s="10"/>
      <c r="C37" s="7"/>
      <c r="D37" s="7"/>
      <c r="F37" s="11"/>
      <c r="R37" t="s">
        <v>63</v>
      </c>
      <c r="S37">
        <f>(T9-S9)*(U9-$T$33)</f>
        <v>-2.7555829718740438E-3</v>
      </c>
      <c r="T37">
        <f>S9*(V9-U9)</f>
        <v>7.8479929449907521E-3</v>
      </c>
      <c r="U37" s="25">
        <f>(T9-S9)*(V9-U9)</f>
        <v>2.7062044637899121E-3</v>
      </c>
      <c r="V37">
        <f>SUM(S37:U37)</f>
        <v>7.79861443690662E-3</v>
      </c>
      <c r="X37" t="s">
        <v>67</v>
      </c>
      <c r="Y37">
        <f>(Z14-Y14)*(AA14-$Z$33)</f>
        <v>-2.69937104116042E-3</v>
      </c>
      <c r="Z37">
        <f>Y14*(AB14-AA14)</f>
        <v>3.007340917132637E-3</v>
      </c>
      <c r="AA37" s="25">
        <f>(Z14-Y14)*(AB14-AA14)</f>
        <v>1.0575264763543341E-3</v>
      </c>
      <c r="AB37">
        <f>SUM(Y37:AA37)</f>
        <v>1.3654963523265511E-3</v>
      </c>
    </row>
    <row r="38" spans="1:35" x14ac:dyDescent="0.35">
      <c r="B38" s="12"/>
      <c r="F38" s="13"/>
      <c r="R38" t="s">
        <v>64</v>
      </c>
      <c r="S38" s="24">
        <f>(T13-S13)*(U13-$T$33)</f>
        <v>-8.9490600776814648E-4</v>
      </c>
      <c r="T38" s="24">
        <f>S13*(V13-U13)</f>
        <v>-1.2980976108890048E-2</v>
      </c>
      <c r="U38" s="26">
        <f>(T13-S13)*(V13-U13)</f>
        <v>1.1000827210923777E-3</v>
      </c>
      <c r="V38">
        <f>SUM(S38:U38)</f>
        <v>-1.2775799395565817E-2</v>
      </c>
      <c r="X38" t="s">
        <v>66</v>
      </c>
      <c r="Y38" s="24">
        <f>(Z24-Y24)*(AA24-$Z$33)</f>
        <v>-4.6377662488089498E-3</v>
      </c>
      <c r="Z38" s="24">
        <f>Y24*(AB24-AA24)</f>
        <v>5.2632885187307431E-4</v>
      </c>
      <c r="AA38" s="26">
        <f>(Z24-Y24)*(AB24-AA24)</f>
        <v>8.0764254856385527E-4</v>
      </c>
      <c r="AB38">
        <f>SUM(Y38:AA38)</f>
        <v>-3.3037948483720203E-3</v>
      </c>
    </row>
    <row r="39" spans="1:35" x14ac:dyDescent="0.35">
      <c r="B39" s="12"/>
      <c r="F39" s="13"/>
      <c r="R39" t="s">
        <v>92</v>
      </c>
      <c r="S39">
        <f>SUM(S36:S38)</f>
        <v>-3.1862660386971216E-3</v>
      </c>
      <c r="T39">
        <f>SUM(T36:T38)</f>
        <v>-5.8387991772794155E-3</v>
      </c>
      <c r="U39">
        <f>SUM(U36:U38)</f>
        <v>3.9338442957341183E-3</v>
      </c>
      <c r="V39">
        <f>SUM(V36:V38)</f>
        <v>-5.0912209202424201E-3</v>
      </c>
      <c r="X39" t="s">
        <v>92</v>
      </c>
      <c r="Y39">
        <f>SUM(Y36:Y38)</f>
        <v>-1.1025293447574712E-2</v>
      </c>
      <c r="Z39">
        <f>SUM(Z36:Z38)</f>
        <v>4.3504829882506967E-3</v>
      </c>
      <c r="AA39">
        <f>SUM(AA36:AA38)</f>
        <v>1.5835895390815991E-3</v>
      </c>
      <c r="AB39">
        <f>SUM(AB36:AB38)</f>
        <v>-5.0912209202424175E-3</v>
      </c>
    </row>
    <row r="40" spans="1:35" x14ac:dyDescent="0.35">
      <c r="B40" s="12"/>
      <c r="F40" s="13"/>
    </row>
    <row r="41" spans="1:35" x14ac:dyDescent="0.35">
      <c r="B41" s="12"/>
      <c r="C41" t="s">
        <v>87</v>
      </c>
      <c r="D41" t="s">
        <v>88</v>
      </c>
      <c r="F41" s="13"/>
    </row>
    <row r="42" spans="1:35" x14ac:dyDescent="0.35">
      <c r="B42" s="12" t="s">
        <v>85</v>
      </c>
      <c r="C42">
        <f>SUMPRODUCT(D35:D36,F35:F36)</f>
        <v>-2.4287266664067199E-2</v>
      </c>
      <c r="D42">
        <f>SUMPRODUCT(D35:D36,E35:E36)</f>
        <v>-2.8642264022880896E-2</v>
      </c>
      <c r="F42" s="13"/>
    </row>
    <row r="43" spans="1:35" x14ac:dyDescent="0.35">
      <c r="B43" s="12" t="s">
        <v>86</v>
      </c>
      <c r="C43">
        <f>SUMPRODUCT(C35:C36,F35:F36)</f>
        <v>-2.171687299275335E-2</v>
      </c>
      <c r="D43">
        <f>SUMPRODUCT(C35:C36,E35:E36)</f>
        <v>-2.8642264022880899E-2</v>
      </c>
      <c r="F43" s="13"/>
    </row>
    <row r="44" spans="1:35" x14ac:dyDescent="0.35">
      <c r="B44" s="12"/>
      <c r="F44" s="13"/>
    </row>
    <row r="45" spans="1:35" ht="29" x14ac:dyDescent="0.35">
      <c r="B45" s="10"/>
      <c r="C45" s="7" t="s">
        <v>89</v>
      </c>
      <c r="D45" s="7" t="s">
        <v>93</v>
      </c>
      <c r="E45" s="7" t="s">
        <v>91</v>
      </c>
      <c r="F45" s="11" t="s">
        <v>92</v>
      </c>
    </row>
    <row r="46" spans="1:35" x14ac:dyDescent="0.35">
      <c r="B46" s="12" t="str">
        <f>B35</f>
        <v>CIBC Atlas Disciplined Equity Fund</v>
      </c>
      <c r="C46">
        <f>(D35-C35)*(E35-$D$43)</f>
        <v>0</v>
      </c>
      <c r="D46">
        <f>C35*(F35-E35)</f>
        <v>-3.9289499190700052E-4</v>
      </c>
      <c r="E46">
        <f>(D35-C35)*(F35-E35)</f>
        <v>-1.3096499730233348E-4</v>
      </c>
      <c r="F46" s="13">
        <f>SUM(C46:E46)</f>
        <v>-5.2385998920933402E-4</v>
      </c>
    </row>
    <row r="47" spans="1:35" x14ac:dyDescent="0.35">
      <c r="B47" s="12" t="str">
        <f>B36</f>
        <v>Columbia Select Large Cap Equity Fund</v>
      </c>
      <c r="C47">
        <f>(D36-C36)*(E36-$D$43)</f>
        <v>0</v>
      </c>
      <c r="D47">
        <f>C36*(F36-E36)</f>
        <v>7.3182860220345498E-3</v>
      </c>
      <c r="E47">
        <f>(D36-C36)*(F36-E36)</f>
        <v>-2.4394286740115167E-3</v>
      </c>
      <c r="F47" s="13">
        <f>SUM(C47:E47)</f>
        <v>4.8788573480230326E-3</v>
      </c>
    </row>
    <row r="48" spans="1:35" x14ac:dyDescent="0.35">
      <c r="B48" s="12"/>
      <c r="F48" s="13"/>
    </row>
    <row r="49" spans="2:6" x14ac:dyDescent="0.35">
      <c r="B49" s="12"/>
      <c r="F49" s="13"/>
    </row>
    <row r="50" spans="2:6" x14ac:dyDescent="0.35">
      <c r="B50" s="12"/>
      <c r="F50" s="13"/>
    </row>
    <row r="51" spans="2:6" ht="15" thickBot="1" x14ac:dyDescent="0.4">
      <c r="B51" s="14" t="s">
        <v>92</v>
      </c>
      <c r="C51" s="15">
        <f>SUM(C46:C50)</f>
        <v>0</v>
      </c>
      <c r="D51" s="15">
        <f>SUM(D46:D50)</f>
        <v>6.9253910301275493E-3</v>
      </c>
      <c r="E51" s="15">
        <f>SUM(E46:E50)</f>
        <v>-2.5703936713138502E-3</v>
      </c>
      <c r="F51" s="16">
        <f>SUM(F46:F50)</f>
        <v>4.3549973588136986E-3</v>
      </c>
    </row>
    <row r="54" spans="2:6" ht="15" thickBot="1" x14ac:dyDescent="0.4"/>
    <row r="55" spans="2:6" x14ac:dyDescent="0.35">
      <c r="B55" s="17" t="s">
        <v>95</v>
      </c>
      <c r="C55" s="8" t="s">
        <v>86</v>
      </c>
      <c r="D55" s="8" t="s">
        <v>85</v>
      </c>
      <c r="E55" s="8" t="s">
        <v>88</v>
      </c>
      <c r="F55" s="9" t="s">
        <v>87</v>
      </c>
    </row>
    <row r="56" spans="2:6" x14ac:dyDescent="0.35">
      <c r="B56" s="10" t="str">
        <f>B8</f>
        <v>AMG Montrusco Bolton Large Cap Growth Fund</v>
      </c>
      <c r="C56" s="7">
        <f>E8/SUM($E$8:$E$11)</f>
        <v>0.25</v>
      </c>
      <c r="D56" s="7">
        <f>F8/SUM($F$8:$F$11)</f>
        <v>0.25</v>
      </c>
      <c r="E56" s="7">
        <f>I8</f>
        <v>-7.1066524064303305E-2</v>
      </c>
      <c r="F56" s="11">
        <f>K8</f>
        <v>-1.54675804023955E-2</v>
      </c>
    </row>
    <row r="57" spans="2:6" x14ac:dyDescent="0.35">
      <c r="B57" s="10" t="str">
        <f>B9</f>
        <v>Alger Responsible Investing Fund</v>
      </c>
      <c r="C57" s="7">
        <f>E9/SUM($E$8:$E$11)</f>
        <v>0.25</v>
      </c>
      <c r="D57" s="7">
        <f>F9/SUM($F$8:$F$11)</f>
        <v>0.375</v>
      </c>
      <c r="E57" s="7">
        <f>E56</f>
        <v>-7.1066524064303305E-2</v>
      </c>
      <c r="F57" s="11">
        <f>K9</f>
        <v>-1.8011765066900099E-2</v>
      </c>
    </row>
    <row r="58" spans="2:6" x14ac:dyDescent="0.35">
      <c r="B58" s="10" t="str">
        <f>B10</f>
        <v>American Century Focused Dynamic Growth Fund</v>
      </c>
      <c r="C58" s="7">
        <f>E10/SUM($E$8:$E$11)</f>
        <v>0.25</v>
      </c>
      <c r="D58" s="7">
        <f>F10/SUM($F$8:$F$11)</f>
        <v>8.3333333333333343E-2</v>
      </c>
      <c r="E58" s="7">
        <f>E57</f>
        <v>-7.1066524064303305E-2</v>
      </c>
      <c r="F58" s="11">
        <f>K10</f>
        <v>8.6642203951432795E-3</v>
      </c>
    </row>
    <row r="59" spans="2:6" x14ac:dyDescent="0.35">
      <c r="B59" s="10" t="str">
        <f>B11</f>
        <v>Ave Maria Growth Fund</v>
      </c>
      <c r="C59" s="7">
        <f>E11/SUM($E$8:$E$11)</f>
        <v>0.25</v>
      </c>
      <c r="D59" s="7">
        <f>F11/SUM($F$8:$F$11)</f>
        <v>0.29166666666666669</v>
      </c>
      <c r="E59" s="7">
        <f>E58</f>
        <v>-7.1066524064303305E-2</v>
      </c>
      <c r="F59" s="11">
        <f>K11</f>
        <v>-4.76909627491049E-2</v>
      </c>
    </row>
    <row r="60" spans="2:6" x14ac:dyDescent="0.35">
      <c r="B60" s="12"/>
      <c r="F60" s="13"/>
    </row>
    <row r="61" spans="2:6" x14ac:dyDescent="0.35">
      <c r="B61" s="12"/>
      <c r="F61" s="13"/>
    </row>
    <row r="62" spans="2:6" x14ac:dyDescent="0.35">
      <c r="B62" s="12"/>
      <c r="C62" t="s">
        <v>87</v>
      </c>
      <c r="D62" t="s">
        <v>88</v>
      </c>
      <c r="F62" s="13"/>
    </row>
    <row r="63" spans="2:6" x14ac:dyDescent="0.35">
      <c r="B63" s="12" t="s">
        <v>85</v>
      </c>
      <c r="C63">
        <f>SUMPRODUCT(D56:D60,F56:F60)</f>
        <v>-2.3809152769580066E-2</v>
      </c>
      <c r="D63">
        <f>SUMPRODUCT(D56:D60,E56:E60)</f>
        <v>-7.1066524064303305E-2</v>
      </c>
      <c r="F63" s="13"/>
    </row>
    <row r="64" spans="2:6" x14ac:dyDescent="0.35">
      <c r="B64" s="12" t="s">
        <v>86</v>
      </c>
      <c r="C64">
        <f>SUMPRODUCT(C56:C60,F56:F60)</f>
        <v>-1.8126521955814302E-2</v>
      </c>
      <c r="D64">
        <f>SUMPRODUCT(C56:C60,E56:E60)</f>
        <v>-7.1066524064303305E-2</v>
      </c>
      <c r="F64" s="13"/>
    </row>
    <row r="65" spans="2:6" x14ac:dyDescent="0.35">
      <c r="B65" s="12"/>
      <c r="F65" s="13"/>
    </row>
    <row r="66" spans="2:6" ht="29" x14ac:dyDescent="0.35">
      <c r="B66" s="10"/>
      <c r="C66" s="7" t="s">
        <v>89</v>
      </c>
      <c r="D66" s="7" t="s">
        <v>93</v>
      </c>
      <c r="E66" s="7" t="s">
        <v>91</v>
      </c>
      <c r="F66" s="11" t="s">
        <v>92</v>
      </c>
    </row>
    <row r="67" spans="2:6" x14ac:dyDescent="0.35">
      <c r="B67" s="12" t="str">
        <f>B56</f>
        <v>AMG Montrusco Bolton Large Cap Growth Fund</v>
      </c>
      <c r="C67">
        <f>(D56-C56)*(E56-$D$64)</f>
        <v>0</v>
      </c>
      <c r="D67">
        <f>C56*(F56-E56)</f>
        <v>1.3899735915476951E-2</v>
      </c>
      <c r="E67">
        <f>(D56-C56)*(F56-E56)</f>
        <v>0</v>
      </c>
      <c r="F67" s="13">
        <f>SUM(C67:E67)</f>
        <v>1.3899735915476951E-2</v>
      </c>
    </row>
    <row r="68" spans="2:6" x14ac:dyDescent="0.35">
      <c r="B68" s="12" t="str">
        <f>B57</f>
        <v>Alger Responsible Investing Fund</v>
      </c>
      <c r="C68">
        <f>(D57-C57)*(E57-$D$64)</f>
        <v>0</v>
      </c>
      <c r="D68">
        <f>C57*(F57-E57)</f>
        <v>1.3263689749350802E-2</v>
      </c>
      <c r="E68">
        <f>(D57-C57)*(F57-E57)</f>
        <v>6.6318448746754011E-3</v>
      </c>
      <c r="F68" s="13">
        <f>SUM(C68:E68)</f>
        <v>1.9895534624026205E-2</v>
      </c>
    </row>
    <row r="69" spans="2:6" x14ac:dyDescent="0.35">
      <c r="B69" s="12" t="str">
        <f>B58</f>
        <v>American Century Focused Dynamic Growth Fund</v>
      </c>
      <c r="C69">
        <f>(D58-C58)*(E58-$D$64)</f>
        <v>0</v>
      </c>
      <c r="D69">
        <f>C58*(F58-E58)</f>
        <v>1.9932686114861646E-2</v>
      </c>
      <c r="E69">
        <f>(D58-C58)*(F58-E58)</f>
        <v>-1.3288457409907764E-2</v>
      </c>
      <c r="F69" s="13">
        <f>SUM(C69:E69)</f>
        <v>6.644228704953882E-3</v>
      </c>
    </row>
    <row r="70" spans="2:6" x14ac:dyDescent="0.35">
      <c r="B70" s="12" t="str">
        <f>B59</f>
        <v>Ave Maria Growth Fund</v>
      </c>
      <c r="C70">
        <f>(D59-C59)*(E59-$D$64)</f>
        <v>0</v>
      </c>
      <c r="D70">
        <f>C59*(F59-E59)</f>
        <v>5.8438903287996013E-3</v>
      </c>
      <c r="E70">
        <f>(D59-C59)*(F59-E59)</f>
        <v>9.7398172146660061E-4</v>
      </c>
      <c r="F70" s="13">
        <f>SUM(C70:E70)</f>
        <v>6.8178720502662018E-3</v>
      </c>
    </row>
    <row r="71" spans="2:6" x14ac:dyDescent="0.35">
      <c r="B71" s="12"/>
      <c r="F71" s="13"/>
    </row>
    <row r="72" spans="2:6" ht="15" thickBot="1" x14ac:dyDescent="0.4">
      <c r="B72" s="14" t="s">
        <v>92</v>
      </c>
      <c r="C72" s="15">
        <f>SUM(C67:C71)</f>
        <v>0</v>
      </c>
      <c r="D72" s="15">
        <f>SUM(D67:D71)</f>
        <v>5.2940002108489002E-2</v>
      </c>
      <c r="E72" s="15">
        <f>SUM(E67:E71)</f>
        <v>-5.6826308137657624E-3</v>
      </c>
      <c r="F72" s="16">
        <f>SUM(F67:F71)</f>
        <v>4.7257371294723238E-2</v>
      </c>
    </row>
    <row r="75" spans="2:6" ht="15" thickBot="1" x14ac:dyDescent="0.4"/>
    <row r="76" spans="2:6" x14ac:dyDescent="0.35">
      <c r="B76" s="17" t="s">
        <v>96</v>
      </c>
      <c r="C76" s="8" t="s">
        <v>86</v>
      </c>
      <c r="D76" s="8" t="s">
        <v>85</v>
      </c>
      <c r="E76" s="8" t="s">
        <v>88</v>
      </c>
      <c r="F76" s="9" t="s">
        <v>87</v>
      </c>
    </row>
    <row r="77" spans="2:6" x14ac:dyDescent="0.35">
      <c r="B77" s="10" t="str">
        <f>B12</f>
        <v>BlackRock Large Cap Focus Value Fund</v>
      </c>
      <c r="C77" s="7">
        <f>E12/SUM($E$12:$E$13)</f>
        <v>0.5</v>
      </c>
      <c r="D77" s="7">
        <f>F12/SUM($F$12:$F$13)</f>
        <v>0.5714285714285714</v>
      </c>
      <c r="E77" s="7">
        <f>I12</f>
        <v>9.0177583721861906E-3</v>
      </c>
      <c r="F77" s="11">
        <f>K12</f>
        <v>-5.7461795253739997E-2</v>
      </c>
    </row>
    <row r="78" spans="2:6" x14ac:dyDescent="0.35">
      <c r="B78" s="10" t="str">
        <f>B13</f>
        <v>Boston Partners All Cap Value Fund</v>
      </c>
      <c r="C78" s="7">
        <f>E13/SUM($E$12:$E$13)</f>
        <v>0.5</v>
      </c>
      <c r="D78" s="7">
        <f>F13/SUM($F$12:$F$13)</f>
        <v>0.42857142857142849</v>
      </c>
      <c r="E78" s="7">
        <f>E77</f>
        <v>9.0177583721861906E-3</v>
      </c>
      <c r="F78" s="11">
        <f>K13</f>
        <v>-5.8602565554053299E-2</v>
      </c>
    </row>
    <row r="79" spans="2:6" x14ac:dyDescent="0.35">
      <c r="B79" s="10"/>
      <c r="C79" s="7"/>
      <c r="D79" s="7"/>
      <c r="E79" s="7"/>
      <c r="F79" s="11"/>
    </row>
    <row r="80" spans="2:6" x14ac:dyDescent="0.35">
      <c r="B80" s="10"/>
      <c r="C80" s="7"/>
      <c r="D80" s="7"/>
      <c r="E80" s="7"/>
      <c r="F80" s="11"/>
    </row>
    <row r="81" spans="2:6" x14ac:dyDescent="0.35">
      <c r="B81" s="12"/>
      <c r="F81" s="13"/>
    </row>
    <row r="82" spans="2:6" x14ac:dyDescent="0.35">
      <c r="B82" s="12"/>
      <c r="F82" s="13"/>
    </row>
    <row r="83" spans="2:6" x14ac:dyDescent="0.35">
      <c r="B83" s="12"/>
      <c r="C83" t="s">
        <v>87</v>
      </c>
      <c r="D83" t="s">
        <v>88</v>
      </c>
      <c r="F83" s="13"/>
    </row>
    <row r="84" spans="2:6" x14ac:dyDescent="0.35">
      <c r="B84" s="12" t="s">
        <v>85</v>
      </c>
      <c r="C84">
        <f>SUMPRODUCT(D77:D81,F77:F81)</f>
        <v>-5.7950696811017118E-2</v>
      </c>
      <c r="D84">
        <f>SUMPRODUCT(D77:D81,E77:E81)</f>
        <v>9.0177583721861888E-3</v>
      </c>
      <c r="F84" s="13"/>
    </row>
    <row r="85" spans="2:6" x14ac:dyDescent="0.35">
      <c r="B85" s="12" t="s">
        <v>86</v>
      </c>
      <c r="C85">
        <f>SUMPRODUCT(C77:C81,F77:F81)</f>
        <v>-5.8032180403896648E-2</v>
      </c>
      <c r="D85">
        <f>SUMPRODUCT(C77:C81,E77:E81)</f>
        <v>9.0177583721861906E-3</v>
      </c>
      <c r="F85" s="13"/>
    </row>
    <row r="86" spans="2:6" x14ac:dyDescent="0.35">
      <c r="B86" s="12"/>
      <c r="F86" s="13"/>
    </row>
    <row r="87" spans="2:6" ht="29" x14ac:dyDescent="0.35">
      <c r="B87" s="10"/>
      <c r="C87" s="7" t="s">
        <v>89</v>
      </c>
      <c r="D87" s="7" t="s">
        <v>93</v>
      </c>
      <c r="E87" s="7" t="s">
        <v>91</v>
      </c>
      <c r="F87" s="11" t="s">
        <v>92</v>
      </c>
    </row>
    <row r="88" spans="2:6" x14ac:dyDescent="0.35">
      <c r="B88" s="12" t="str">
        <f>B77</f>
        <v>BlackRock Large Cap Focus Value Fund</v>
      </c>
      <c r="C88">
        <f>(D77-C77)*(E77-$D$85)</f>
        <v>0</v>
      </c>
      <c r="D88">
        <f>C77*(F77-E77)</f>
        <v>-3.3239776812963091E-2</v>
      </c>
      <c r="E88">
        <f>(D77-C77)*(F77-E77)</f>
        <v>-4.7485395447090109E-3</v>
      </c>
      <c r="F88" s="13">
        <f>SUM(C88:E88)</f>
        <v>-3.7988316357672101E-2</v>
      </c>
    </row>
    <row r="89" spans="2:6" x14ac:dyDescent="0.35">
      <c r="B89" s="12" t="str">
        <f>B78</f>
        <v>Boston Partners All Cap Value Fund</v>
      </c>
      <c r="C89">
        <f>(D78-C78)*(E78-$D$85)</f>
        <v>0</v>
      </c>
      <c r="D89">
        <f>C78*(F78-E78)</f>
        <v>-3.3810161963119742E-2</v>
      </c>
      <c r="E89">
        <f>(D78-C78)*(F78-E78)</f>
        <v>4.8300231375885396E-3</v>
      </c>
      <c r="F89" s="13">
        <f>SUM(C89:E89)</f>
        <v>-2.8980138825531201E-2</v>
      </c>
    </row>
    <row r="90" spans="2:6" x14ac:dyDescent="0.35">
      <c r="B90" s="12"/>
      <c r="F90" s="13"/>
    </row>
    <row r="91" spans="2:6" x14ac:dyDescent="0.35">
      <c r="B91" s="12"/>
      <c r="F91" s="13"/>
    </row>
    <row r="92" spans="2:6" x14ac:dyDescent="0.35">
      <c r="B92" s="12"/>
      <c r="F92" s="13"/>
    </row>
    <row r="93" spans="2:6" ht="15" thickBot="1" x14ac:dyDescent="0.4">
      <c r="B93" s="14" t="s">
        <v>92</v>
      </c>
      <c r="C93" s="15">
        <f>SUM(C88:C92)</f>
        <v>0</v>
      </c>
      <c r="D93" s="15">
        <f>SUM(D88:D92)</f>
        <v>-6.704993877608284E-2</v>
      </c>
      <c r="E93" s="15">
        <f>SUM(E88:E92)</f>
        <v>8.1483592879528707E-5</v>
      </c>
      <c r="F93" s="16">
        <f>SUM(F88:F92)</f>
        <v>-6.6968455183203296E-2</v>
      </c>
    </row>
    <row r="96" spans="2:6" ht="15" thickBot="1" x14ac:dyDescent="0.4"/>
    <row r="97" spans="2:6" x14ac:dyDescent="0.35">
      <c r="B97" s="17" t="s">
        <v>97</v>
      </c>
      <c r="C97" s="8" t="s">
        <v>86</v>
      </c>
      <c r="D97" s="8" t="s">
        <v>85</v>
      </c>
      <c r="E97" s="8" t="s">
        <v>88</v>
      </c>
      <c r="F97" s="9" t="s">
        <v>87</v>
      </c>
    </row>
    <row r="98" spans="2:6" x14ac:dyDescent="0.35">
      <c r="B98" s="10" t="str">
        <f>B14</f>
        <v>Harbor Small Cap Value Fund</v>
      </c>
      <c r="C98" s="7">
        <f>E14/SUM($E$14:$E$18)</f>
        <v>0.2</v>
      </c>
      <c r="D98" s="7">
        <f>F14/SUM($F$14:$F$18)</f>
        <v>8.3333333333333329E-2</v>
      </c>
      <c r="E98" s="7">
        <f>I14</f>
        <v>-8.7453979096761794E-2</v>
      </c>
      <c r="F98" s="11">
        <f>K14</f>
        <v>-7.8294000490968199E-2</v>
      </c>
    </row>
    <row r="99" spans="2:6" x14ac:dyDescent="0.35">
      <c r="B99" s="10" t="str">
        <f t="shared" ref="B99:B102" si="0">B15</f>
        <v>Hartford Schroders US Small Cap Opps Fund</v>
      </c>
      <c r="C99" s="7">
        <f t="shared" ref="C99:C102" si="1">E15/SUM($E$14:$E$18)</f>
        <v>0.2</v>
      </c>
      <c r="D99" s="7">
        <f t="shared" ref="D99:D102" si="2">F15/SUM($F$14:$F$18)</f>
        <v>5.5555555555555552E-2</v>
      </c>
      <c r="E99" s="7">
        <f>E98</f>
        <v>-8.7453979096761794E-2</v>
      </c>
      <c r="F99" s="11">
        <f t="shared" ref="F99:F102" si="3">K15</f>
        <v>-6.0356875918417499E-2</v>
      </c>
    </row>
    <row r="100" spans="2:6" x14ac:dyDescent="0.35">
      <c r="B100" s="10" t="str">
        <f t="shared" si="0"/>
        <v>Hennessy Cornerstone Growth Fund</v>
      </c>
      <c r="C100" s="7">
        <f t="shared" si="1"/>
        <v>0.2</v>
      </c>
      <c r="D100" s="7">
        <f t="shared" si="2"/>
        <v>2.7777777777777776E-2</v>
      </c>
      <c r="E100" s="7">
        <f>E99</f>
        <v>-8.7453979096761794E-2</v>
      </c>
      <c r="F100" s="11">
        <f t="shared" si="3"/>
        <v>-8.9487831310888596E-2</v>
      </c>
    </row>
    <row r="101" spans="2:6" x14ac:dyDescent="0.35">
      <c r="B101" s="10" t="str">
        <f t="shared" si="0"/>
        <v>Highland Small Cap Equity Fund</v>
      </c>
      <c r="C101" s="7">
        <f t="shared" si="1"/>
        <v>0.2</v>
      </c>
      <c r="D101" s="7">
        <f t="shared" si="2"/>
        <v>0.27777777777777773</v>
      </c>
      <c r="E101" s="7">
        <f>E100</f>
        <v>-8.7453979096761794E-2</v>
      </c>
      <c r="F101" s="11">
        <f t="shared" si="3"/>
        <v>-6.1637871916626202E-2</v>
      </c>
    </row>
    <row r="102" spans="2:6" x14ac:dyDescent="0.35">
      <c r="B102" s="10" t="str">
        <f t="shared" si="0"/>
        <v>Homestead Small Company Stock Fund</v>
      </c>
      <c r="C102" s="7">
        <f t="shared" si="1"/>
        <v>0.2</v>
      </c>
      <c r="D102" s="7">
        <f t="shared" si="2"/>
        <v>0.55555555555555547</v>
      </c>
      <c r="E102" s="7">
        <f>E101</f>
        <v>-8.7453979096761794E-2</v>
      </c>
      <c r="F102" s="11">
        <f t="shared" si="3"/>
        <v>-7.54657656642643E-2</v>
      </c>
    </row>
    <row r="103" spans="2:6" x14ac:dyDescent="0.35">
      <c r="B103" s="12"/>
      <c r="F103" s="13"/>
    </row>
    <row r="104" spans="2:6" x14ac:dyDescent="0.35">
      <c r="B104" s="12"/>
      <c r="C104" t="s">
        <v>87</v>
      </c>
      <c r="D104" t="s">
        <v>88</v>
      </c>
      <c r="F104" s="13"/>
    </row>
    <row r="105" spans="2:6" x14ac:dyDescent="0.35">
      <c r="B105" s="12" t="s">
        <v>85</v>
      </c>
      <c r="C105">
        <f>SUMPRODUCT(D98:D102,F98:F102)</f>
        <v>-7.1410489363116003E-2</v>
      </c>
      <c r="D105">
        <f>SUMPRODUCT(D98:D102,E98:E102)</f>
        <v>-8.745397909676178E-2</v>
      </c>
      <c r="F105" s="13"/>
    </row>
    <row r="106" spans="2:6" x14ac:dyDescent="0.35">
      <c r="B106" s="12" t="s">
        <v>86</v>
      </c>
      <c r="C106">
        <f>SUMPRODUCT(C98:C102,F98:F102)</f>
        <v>-7.3048469060232962E-2</v>
      </c>
      <c r="D106">
        <f>SUMPRODUCT(C98:C102,E98:E102)</f>
        <v>-8.7453979096761808E-2</v>
      </c>
      <c r="F106" s="13"/>
    </row>
    <row r="107" spans="2:6" x14ac:dyDescent="0.35">
      <c r="B107" s="12"/>
      <c r="F107" s="13"/>
    </row>
    <row r="108" spans="2:6" ht="29" x14ac:dyDescent="0.35">
      <c r="B108" s="10"/>
      <c r="C108" s="7" t="s">
        <v>89</v>
      </c>
      <c r="D108" s="7" t="s">
        <v>93</v>
      </c>
      <c r="E108" s="7" t="s">
        <v>91</v>
      </c>
      <c r="F108" s="11" t="s">
        <v>92</v>
      </c>
    </row>
    <row r="109" spans="2:6" x14ac:dyDescent="0.35">
      <c r="B109" s="12" t="str">
        <f>B98</f>
        <v>Harbor Small Cap Value Fund</v>
      </c>
      <c r="C109">
        <f>(D98-C98)*(E98-$D$106)</f>
        <v>-1.6190752442450202E-18</v>
      </c>
      <c r="D109">
        <f>C98*(F98-E98)</f>
        <v>1.831995721158719E-3</v>
      </c>
      <c r="E109">
        <f>(D98-C98)*(F98-E98)</f>
        <v>-1.0686641706759196E-3</v>
      </c>
      <c r="F109" s="13">
        <f>SUM(C109:E109)</f>
        <v>7.6333155048279792E-4</v>
      </c>
    </row>
    <row r="110" spans="2:6" x14ac:dyDescent="0.35">
      <c r="B110" s="12" t="str">
        <f>B99</f>
        <v>Hartford Schroders US Small Cap Opps Fund</v>
      </c>
      <c r="C110">
        <f>(D99-C99)*(E99-$D$106)</f>
        <v>-2.004569350017644E-18</v>
      </c>
      <c r="D110">
        <f>C99*(F99-E99)</f>
        <v>5.419420635668859E-3</v>
      </c>
      <c r="E110">
        <f>(D99-C99)*(F99-E99)</f>
        <v>-3.9140260146497321E-3</v>
      </c>
      <c r="F110" s="13">
        <f>SUM(C110:E110)</f>
        <v>1.5053946210191252E-3</v>
      </c>
    </row>
    <row r="111" spans="2:6" x14ac:dyDescent="0.35">
      <c r="B111" s="12" t="str">
        <f>B100</f>
        <v>Hennessy Cornerstone Growth Fund</v>
      </c>
      <c r="C111">
        <f>(D100-C100)*(E100-$D$106)</f>
        <v>-2.3900634557902675E-18</v>
      </c>
      <c r="D111">
        <f>C100*(F100-E100)</f>
        <v>-4.0677044282536046E-4</v>
      </c>
      <c r="E111">
        <f>(D100-C100)*(F100-E100)</f>
        <v>3.5027454798850486E-4</v>
      </c>
      <c r="F111" s="13">
        <f>SUM(C111:E111)</f>
        <v>-5.649589483685798E-5</v>
      </c>
    </row>
    <row r="112" spans="2:6" x14ac:dyDescent="0.35">
      <c r="B112" s="12" t="str">
        <f>B101</f>
        <v>Highland Small Cap Equity Fund</v>
      </c>
      <c r="C112">
        <f>(D101-C101)*(E101-$D$106)</f>
        <v>1.0793834961633459E-18</v>
      </c>
      <c r="D112">
        <f>C101*(F101-E101)</f>
        <v>5.1632214360271189E-3</v>
      </c>
      <c r="E112">
        <f>(D101-C101)*(F101-E101)</f>
        <v>2.007919447343878E-3</v>
      </c>
      <c r="F112" s="13">
        <f>SUM(C112:E112)</f>
        <v>7.1711408833709973E-3</v>
      </c>
    </row>
    <row r="113" spans="2:6" x14ac:dyDescent="0.35">
      <c r="B113" s="12" t="str">
        <f>B102</f>
        <v>Homestead Small Company Stock Fund</v>
      </c>
      <c r="C113">
        <f>(D102-C102)*(E102-$D$106)</f>
        <v>4.9343245538895833E-18</v>
      </c>
      <c r="D113">
        <f>C102*(F102-E102)</f>
        <v>2.3976426864994989E-3</v>
      </c>
      <c r="E113">
        <f>(D102-C102)*(F102-E102)</f>
        <v>4.2624758871102186E-3</v>
      </c>
      <c r="F113" s="13">
        <f>SUM(C113:E113)</f>
        <v>6.6601185736097218E-3</v>
      </c>
    </row>
    <row r="114" spans="2:6" ht="15" thickBot="1" x14ac:dyDescent="0.4">
      <c r="B114" s="14" t="s">
        <v>92</v>
      </c>
      <c r="C114" s="15">
        <f>SUM(C109:C113)</f>
        <v>0</v>
      </c>
      <c r="D114" s="15">
        <f>SUM(D109:D113)</f>
        <v>1.4405510036528835E-2</v>
      </c>
      <c r="E114" s="15">
        <f>SUM(E109:E113)</f>
        <v>1.6379796971169491E-3</v>
      </c>
      <c r="F114" s="16">
        <f>SUM(F109:F113)</f>
        <v>1.6043489733645784E-2</v>
      </c>
    </row>
    <row r="117" spans="2:6" ht="15" thickBot="1" x14ac:dyDescent="0.4"/>
    <row r="118" spans="2:6" x14ac:dyDescent="0.35">
      <c r="B118" s="17" t="s">
        <v>98</v>
      </c>
      <c r="C118" s="8" t="s">
        <v>86</v>
      </c>
      <c r="D118" s="8" t="s">
        <v>85</v>
      </c>
      <c r="E118" s="8" t="s">
        <v>88</v>
      </c>
      <c r="F118" s="9" t="s">
        <v>87</v>
      </c>
    </row>
    <row r="119" spans="2:6" x14ac:dyDescent="0.35">
      <c r="B119" s="10" t="str">
        <f>B19</f>
        <v>JP Morgan Small Cap Value Fund</v>
      </c>
      <c r="C119" s="7">
        <f>E19/SUM($E$19:$E$20)</f>
        <v>0.5</v>
      </c>
      <c r="D119" s="7">
        <f>F19/SUM($F$19:$F$20)</f>
        <v>0.11111111111111112</v>
      </c>
      <c r="E119" s="7">
        <f>I19</f>
        <v>-8.8958676933682895E-2</v>
      </c>
      <c r="F119" s="11">
        <f>K19</f>
        <v>-8.5531688159954294E-2</v>
      </c>
    </row>
    <row r="120" spans="2:6" x14ac:dyDescent="0.35">
      <c r="B120" s="10" t="str">
        <f>B20</f>
        <v>James Micro Cap Fund</v>
      </c>
      <c r="C120" s="7">
        <f>E20/SUM($E$19:$E$20)</f>
        <v>0.5</v>
      </c>
      <c r="D120" s="7">
        <f>F20/SUM($F$19:$F$20)</f>
        <v>0.88888888888888895</v>
      </c>
      <c r="E120" s="7">
        <f>E119</f>
        <v>-8.8958676933682895E-2</v>
      </c>
      <c r="F120" s="11">
        <f>K20</f>
        <v>-8.3174840913020201E-2</v>
      </c>
    </row>
    <row r="121" spans="2:6" x14ac:dyDescent="0.35">
      <c r="B121" s="10"/>
      <c r="C121" s="7"/>
      <c r="D121" s="7"/>
      <c r="E121" s="7"/>
      <c r="F121" s="11"/>
    </row>
    <row r="122" spans="2:6" x14ac:dyDescent="0.35">
      <c r="B122" s="10"/>
      <c r="C122" s="7"/>
      <c r="D122" s="7"/>
      <c r="E122" s="7"/>
      <c r="F122" s="11"/>
    </row>
    <row r="123" spans="2:6" x14ac:dyDescent="0.35">
      <c r="B123" s="10"/>
      <c r="C123" s="7"/>
      <c r="D123" s="7"/>
      <c r="E123" s="7"/>
      <c r="F123" s="11"/>
    </row>
    <row r="124" spans="2:6" x14ac:dyDescent="0.35">
      <c r="B124" s="12"/>
      <c r="F124" s="13"/>
    </row>
    <row r="125" spans="2:6" x14ac:dyDescent="0.35">
      <c r="B125" s="12"/>
      <c r="C125" t="s">
        <v>87</v>
      </c>
      <c r="D125" t="s">
        <v>88</v>
      </c>
      <c r="F125" s="13"/>
    </row>
    <row r="126" spans="2:6" x14ac:dyDescent="0.35">
      <c r="B126" s="12" t="s">
        <v>85</v>
      </c>
      <c r="C126">
        <f>SUMPRODUCT(D119:D123,F119:F123)</f>
        <v>-8.3436712829346227E-2</v>
      </c>
      <c r="D126">
        <f>SUMPRODUCT(D119:D123,E119:E123)</f>
        <v>-8.8958676933682895E-2</v>
      </c>
      <c r="F126" s="13"/>
    </row>
    <row r="127" spans="2:6" x14ac:dyDescent="0.35">
      <c r="B127" s="12" t="s">
        <v>86</v>
      </c>
      <c r="C127">
        <f>SUMPRODUCT(C119:C123,F119:F123)</f>
        <v>-8.4353264536487255E-2</v>
      </c>
      <c r="D127">
        <f>SUMPRODUCT(C119:C123,E119:E123)</f>
        <v>-8.8958676933682895E-2</v>
      </c>
      <c r="F127" s="13"/>
    </row>
    <row r="128" spans="2:6" x14ac:dyDescent="0.35">
      <c r="B128" s="12"/>
      <c r="F128" s="13"/>
    </row>
    <row r="129" spans="2:6" ht="29" x14ac:dyDescent="0.35">
      <c r="B129" s="10"/>
      <c r="C129" s="7" t="s">
        <v>89</v>
      </c>
      <c r="D129" s="7" t="s">
        <v>93</v>
      </c>
      <c r="E129" s="7" t="s">
        <v>91</v>
      </c>
      <c r="F129" s="11" t="s">
        <v>92</v>
      </c>
    </row>
    <row r="130" spans="2:6" x14ac:dyDescent="0.35">
      <c r="B130" s="12" t="str">
        <f>B119</f>
        <v>JP Morgan Small Cap Value Fund</v>
      </c>
      <c r="C130">
        <f>(D119-C119)*(E119-$D$127)</f>
        <v>0</v>
      </c>
      <c r="D130">
        <f>C119*(F119-E119)</f>
        <v>1.7134943868643004E-3</v>
      </c>
      <c r="E130">
        <f>(D119-C119)*(F119-E119)</f>
        <v>-1.3327178564500116E-3</v>
      </c>
      <c r="F130" s="13">
        <f>SUM(C130:E130)</f>
        <v>3.8077653041428887E-4</v>
      </c>
    </row>
    <row r="131" spans="2:6" x14ac:dyDescent="0.35">
      <c r="B131" s="12" t="str">
        <f>B120</f>
        <v>James Micro Cap Fund</v>
      </c>
      <c r="C131">
        <f>(D120-C120)*(E120-$D$127)</f>
        <v>0</v>
      </c>
      <c r="D131">
        <f>C120*(F120-E120)</f>
        <v>2.8919180103313472E-3</v>
      </c>
      <c r="E131">
        <f>(D120-C120)*(F120-E120)</f>
        <v>2.2492695635910483E-3</v>
      </c>
      <c r="F131" s="13">
        <f>SUM(C131:E131)</f>
        <v>5.1411875739223959E-3</v>
      </c>
    </row>
    <row r="132" spans="2:6" x14ac:dyDescent="0.35">
      <c r="B132" s="12"/>
      <c r="F132" s="13"/>
    </row>
    <row r="133" spans="2:6" x14ac:dyDescent="0.35">
      <c r="B133" s="12"/>
      <c r="F133" s="13"/>
    </row>
    <row r="134" spans="2:6" x14ac:dyDescent="0.35">
      <c r="B134" s="12"/>
      <c r="F134" s="13"/>
    </row>
    <row r="135" spans="2:6" ht="15" thickBot="1" x14ac:dyDescent="0.4">
      <c r="B135" s="14" t="s">
        <v>92</v>
      </c>
      <c r="C135" s="15">
        <f>SUM(C130:C134)</f>
        <v>0</v>
      </c>
      <c r="D135" s="15">
        <f>SUM(D130:D134)</f>
        <v>4.6054123971956476E-3</v>
      </c>
      <c r="E135" s="15">
        <f>SUM(E130:E134)</f>
        <v>9.1655170714103674E-4</v>
      </c>
      <c r="F135" s="16">
        <f>SUM(F130:F134)</f>
        <v>5.521964104336685E-3</v>
      </c>
    </row>
    <row r="138" spans="2:6" ht="15" thickBot="1" x14ac:dyDescent="0.4"/>
    <row r="139" spans="2:6" x14ac:dyDescent="0.35">
      <c r="B139" s="17" t="s">
        <v>99</v>
      </c>
      <c r="C139" s="8" t="s">
        <v>86</v>
      </c>
      <c r="D139" s="8" t="s">
        <v>85</v>
      </c>
      <c r="E139" s="8" t="s">
        <v>88</v>
      </c>
      <c r="F139" s="9" t="s">
        <v>87</v>
      </c>
    </row>
    <row r="140" spans="2:6" x14ac:dyDescent="0.35">
      <c r="B140" s="10" t="str">
        <f>B21</f>
        <v>Lord Abbett Alpha Strategy Fund</v>
      </c>
      <c r="C140" s="7">
        <f>E21/SUM($E$21:$E$23)</f>
        <v>0.33333333333333331</v>
      </c>
      <c r="D140" s="7">
        <f>F21/SUM($F$21:$F$23)</f>
        <v>0.16666666666666666</v>
      </c>
      <c r="E140" s="7">
        <f>I21</f>
        <v>-8.7948411615173194E-2</v>
      </c>
      <c r="F140" s="11">
        <f>K21</f>
        <v>-6.6883948253725997E-2</v>
      </c>
    </row>
    <row r="141" spans="2:6" x14ac:dyDescent="0.35">
      <c r="B141" s="10" t="str">
        <f>B22</f>
        <v>Lord Abbett Developing Growth Fund</v>
      </c>
      <c r="C141" s="7">
        <f>E22/SUM($E$21:$E$23)</f>
        <v>0.33333333333333331</v>
      </c>
      <c r="D141" s="7">
        <f>F22/SUM($F$21:$F$23)</f>
        <v>0.41666666666666663</v>
      </c>
      <c r="E141" s="7">
        <f>E140</f>
        <v>-8.7948411615173194E-2</v>
      </c>
      <c r="F141" s="11">
        <f>K22</f>
        <v>-7.1043407345708298E-2</v>
      </c>
    </row>
    <row r="142" spans="2:6" x14ac:dyDescent="0.35">
      <c r="B142" s="10" t="str">
        <f>B23</f>
        <v>Lord Abbett Micro Cap Growth Fund</v>
      </c>
      <c r="C142" s="7">
        <f>E23/SUM($E$21:$E$23)</f>
        <v>0.33333333333333331</v>
      </c>
      <c r="D142" s="7">
        <f>F23/SUM($F$21:$F$23)</f>
        <v>0.41666666666666663</v>
      </c>
      <c r="E142" s="7">
        <f>E141</f>
        <v>-8.7948411615173194E-2</v>
      </c>
      <c r="F142" s="11">
        <f>K23</f>
        <v>-5.0994919206362802E-2</v>
      </c>
    </row>
    <row r="143" spans="2:6" x14ac:dyDescent="0.35">
      <c r="B143" s="10"/>
      <c r="C143" s="7"/>
      <c r="D143" s="7"/>
      <c r="E143" s="7"/>
      <c r="F143" s="11"/>
    </row>
    <row r="144" spans="2:6" x14ac:dyDescent="0.35">
      <c r="B144" s="10"/>
      <c r="C144" s="7"/>
      <c r="D144" s="7"/>
      <c r="E144" s="7"/>
      <c r="F144" s="11"/>
    </row>
    <row r="145" spans="2:6" x14ac:dyDescent="0.35">
      <c r="B145" s="12"/>
      <c r="F145" s="13"/>
    </row>
    <row r="146" spans="2:6" x14ac:dyDescent="0.35">
      <c r="B146" s="12"/>
      <c r="C146" t="s">
        <v>87</v>
      </c>
      <c r="D146" t="s">
        <v>88</v>
      </c>
      <c r="F146" s="13"/>
    </row>
    <row r="147" spans="2:6" x14ac:dyDescent="0.35">
      <c r="B147" s="12" t="s">
        <v>85</v>
      </c>
      <c r="C147">
        <f>SUMPRODUCT(D140:D144,F140:F144)</f>
        <v>-6.1996627438983959E-2</v>
      </c>
      <c r="D147">
        <f>SUMPRODUCT(D140:D144,E140:E144)</f>
        <v>-8.7948411615173194E-2</v>
      </c>
      <c r="F147" s="13"/>
    </row>
    <row r="148" spans="2:6" x14ac:dyDescent="0.35">
      <c r="B148" s="12" t="s">
        <v>86</v>
      </c>
      <c r="C148">
        <f>SUMPRODUCT(C140:C144,F140:F144)</f>
        <v>-6.2974091601932361E-2</v>
      </c>
      <c r="D148">
        <f>SUMPRODUCT(C140:C144,E140:E144)</f>
        <v>-8.7948411615173194E-2</v>
      </c>
      <c r="F148" s="13"/>
    </row>
    <row r="149" spans="2:6" x14ac:dyDescent="0.35">
      <c r="B149" s="12"/>
      <c r="F149" s="13"/>
    </row>
    <row r="150" spans="2:6" ht="29" x14ac:dyDescent="0.35">
      <c r="B150" s="10"/>
      <c r="C150" s="7" t="s">
        <v>89</v>
      </c>
      <c r="D150" s="7" t="s">
        <v>93</v>
      </c>
      <c r="E150" s="7" t="s">
        <v>91</v>
      </c>
      <c r="F150" s="11" t="s">
        <v>92</v>
      </c>
    </row>
    <row r="151" spans="2:6" x14ac:dyDescent="0.35">
      <c r="B151" s="12" t="str">
        <f>B140</f>
        <v>Lord Abbett Alpha Strategy Fund</v>
      </c>
      <c r="C151">
        <f>(D140-C140)*(E140-$D$148)</f>
        <v>0</v>
      </c>
      <c r="D151">
        <f>C140*(F140-E140)</f>
        <v>7.0214877871490654E-3</v>
      </c>
      <c r="E151">
        <f>(D140-C140)*(F140-E140)</f>
        <v>-3.5107438935745327E-3</v>
      </c>
      <c r="F151" s="13">
        <f>SUM(C151:E151)</f>
        <v>3.5107438935745327E-3</v>
      </c>
    </row>
    <row r="152" spans="2:6" x14ac:dyDescent="0.35">
      <c r="B152" s="12" t="str">
        <f>B141</f>
        <v>Lord Abbett Developing Growth Fund</v>
      </c>
      <c r="C152">
        <f>(D141-C141)*(E141-$D$148)</f>
        <v>0</v>
      </c>
      <c r="D152">
        <f>C141*(F141-E141)</f>
        <v>5.6350014231549648E-3</v>
      </c>
      <c r="E152">
        <f>(D141-C141)*(F141-E141)</f>
        <v>1.408750355788741E-3</v>
      </c>
      <c r="F152" s="13">
        <f>SUM(C152:E152)</f>
        <v>7.0437517789437055E-3</v>
      </c>
    </row>
    <row r="153" spans="2:6" x14ac:dyDescent="0.35">
      <c r="B153" s="12" t="str">
        <f>B142</f>
        <v>Lord Abbett Micro Cap Growth Fund</v>
      </c>
      <c r="C153">
        <f>(D142-C142)*(E142-$D$148)</f>
        <v>0</v>
      </c>
      <c r="D153">
        <f>C142*(F142-E142)</f>
        <v>1.2317830802936797E-2</v>
      </c>
      <c r="E153">
        <f>(D142-C142)*(F142-E142)</f>
        <v>3.0794577007341988E-3</v>
      </c>
      <c r="F153" s="13">
        <f>SUM(C153:E153)</f>
        <v>1.5397288503670996E-2</v>
      </c>
    </row>
    <row r="154" spans="2:6" x14ac:dyDescent="0.35">
      <c r="B154" s="12"/>
      <c r="F154" s="13"/>
    </row>
    <row r="155" spans="2:6" x14ac:dyDescent="0.35">
      <c r="B155" s="12"/>
      <c r="F155" s="13"/>
    </row>
    <row r="156" spans="2:6" ht="15" thickBot="1" x14ac:dyDescent="0.4">
      <c r="B156" s="14" t="s">
        <v>92</v>
      </c>
      <c r="C156" s="15">
        <f>SUM(C151:C155)</f>
        <v>0</v>
      </c>
      <c r="D156" s="15">
        <f>SUM(D151:D155)</f>
        <v>2.4974320013240826E-2</v>
      </c>
      <c r="E156" s="15">
        <f>SUM(E151:E155)</f>
        <v>9.7746416294840731E-4</v>
      </c>
      <c r="F156" s="16">
        <f>SUM(F151:F155)</f>
        <v>2.5951784176189235E-2</v>
      </c>
    </row>
    <row r="159" spans="2:6" ht="15" thickBot="1" x14ac:dyDescent="0.4"/>
    <row r="160" spans="2:6" x14ac:dyDescent="0.35">
      <c r="B160" s="17" t="s">
        <v>100</v>
      </c>
      <c r="C160" s="8" t="s">
        <v>86</v>
      </c>
      <c r="D160" s="8" t="s">
        <v>85</v>
      </c>
      <c r="E160" s="8" t="s">
        <v>88</v>
      </c>
      <c r="F160" s="9" t="s">
        <v>87</v>
      </c>
    </row>
    <row r="161" spans="2:6" x14ac:dyDescent="0.35">
      <c r="B161" s="10" t="str">
        <f>B24</f>
        <v>Davenport Equity Opportunities Fund</v>
      </c>
      <c r="C161" s="7">
        <f>E24/SUM($E$24:$E$24)</f>
        <v>1</v>
      </c>
      <c r="D161" s="7">
        <f>F24/SUM($F$24:$F$24)</f>
        <v>1</v>
      </c>
      <c r="E161" s="7">
        <f>I24</f>
        <v>-7.3440528839153696E-2</v>
      </c>
      <c r="F161" s="11">
        <f>K24</f>
        <v>-7.7667254416698098E-2</v>
      </c>
    </row>
    <row r="162" spans="2:6" x14ac:dyDescent="0.35">
      <c r="B162" s="10"/>
      <c r="C162" s="7"/>
      <c r="D162" s="7"/>
      <c r="E162" s="7"/>
      <c r="F162" s="11"/>
    </row>
    <row r="163" spans="2:6" x14ac:dyDescent="0.35">
      <c r="B163" s="10"/>
      <c r="C163" s="7"/>
      <c r="D163" s="7"/>
      <c r="E163" s="7"/>
      <c r="F163" s="11"/>
    </row>
    <row r="164" spans="2:6" x14ac:dyDescent="0.35">
      <c r="B164" s="10"/>
      <c r="C164" s="7"/>
      <c r="D164" s="7"/>
      <c r="E164" s="7"/>
      <c r="F164" s="11"/>
    </row>
    <row r="165" spans="2:6" x14ac:dyDescent="0.35">
      <c r="B165" s="10"/>
      <c r="C165" s="7"/>
      <c r="D165" s="7"/>
      <c r="E165" s="7"/>
      <c r="F165" s="11"/>
    </row>
    <row r="166" spans="2:6" x14ac:dyDescent="0.35">
      <c r="B166" s="12"/>
      <c r="F166" s="13"/>
    </row>
    <row r="167" spans="2:6" x14ac:dyDescent="0.35">
      <c r="B167" s="12"/>
      <c r="C167" t="s">
        <v>87</v>
      </c>
      <c r="D167" t="s">
        <v>88</v>
      </c>
      <c r="F167" s="13"/>
    </row>
    <row r="168" spans="2:6" x14ac:dyDescent="0.35">
      <c r="B168" s="12" t="s">
        <v>85</v>
      </c>
      <c r="C168">
        <f>SUMPRODUCT(D161:D165,F161:F165)</f>
        <v>-7.7667254416698098E-2</v>
      </c>
      <c r="D168">
        <f>SUMPRODUCT(D161:D165,E161:E165)</f>
        <v>-7.3440528839153696E-2</v>
      </c>
      <c r="F168" s="13"/>
    </row>
    <row r="169" spans="2:6" x14ac:dyDescent="0.35">
      <c r="B169" s="12" t="s">
        <v>86</v>
      </c>
      <c r="C169">
        <f>SUMPRODUCT(C161:C165,F161:F165)</f>
        <v>-7.7667254416698098E-2</v>
      </c>
      <c r="D169">
        <f>SUMPRODUCT(C161:C165,E161:E165)</f>
        <v>-7.3440528839153696E-2</v>
      </c>
      <c r="F169" s="13"/>
    </row>
    <row r="170" spans="2:6" x14ac:dyDescent="0.35">
      <c r="B170" s="12"/>
      <c r="F170" s="13"/>
    </row>
    <row r="171" spans="2:6" ht="29" x14ac:dyDescent="0.35">
      <c r="B171" s="10"/>
      <c r="C171" s="7" t="s">
        <v>89</v>
      </c>
      <c r="D171" s="7" t="s">
        <v>93</v>
      </c>
      <c r="E171" s="7" t="s">
        <v>91</v>
      </c>
      <c r="F171" s="11" t="s">
        <v>92</v>
      </c>
    </row>
    <row r="172" spans="2:6" x14ac:dyDescent="0.35">
      <c r="B172" s="12" t="str">
        <f>B161</f>
        <v>Davenport Equity Opportunities Fund</v>
      </c>
      <c r="C172">
        <f>(D161-C161)*(E161-$D$169)</f>
        <v>0</v>
      </c>
      <c r="D172">
        <f>C161*(F161-E161)</f>
        <v>-4.2267255775444018E-3</v>
      </c>
      <c r="E172">
        <f>(D161-C161)*(F161-E161)</f>
        <v>0</v>
      </c>
      <c r="F172" s="13">
        <f>SUM(C172:E172)</f>
        <v>-4.2267255775444018E-3</v>
      </c>
    </row>
    <row r="173" spans="2:6" x14ac:dyDescent="0.35">
      <c r="B173" s="12"/>
      <c r="F173" s="13"/>
    </row>
    <row r="174" spans="2:6" x14ac:dyDescent="0.35">
      <c r="B174" s="12"/>
      <c r="F174" s="13"/>
    </row>
    <row r="175" spans="2:6" x14ac:dyDescent="0.35">
      <c r="B175" s="12"/>
      <c r="F175" s="13"/>
    </row>
    <row r="176" spans="2:6" x14ac:dyDescent="0.35">
      <c r="B176" s="12"/>
      <c r="F176" s="13"/>
    </row>
    <row r="177" spans="2:6" ht="15" thickBot="1" x14ac:dyDescent="0.4">
      <c r="B177" s="14" t="s">
        <v>92</v>
      </c>
      <c r="C177" s="15">
        <f>SUM(C172:C176)</f>
        <v>0</v>
      </c>
      <c r="D177" s="15">
        <f>SUM(D172:D176)</f>
        <v>-4.2267255775444018E-3</v>
      </c>
      <c r="E177" s="15">
        <f>SUM(E172:E176)</f>
        <v>0</v>
      </c>
      <c r="F177" s="16">
        <f>SUM(F172:F176)</f>
        <v>-4.2267255775444018E-3</v>
      </c>
    </row>
    <row r="180" spans="2:6" ht="15" thickBot="1" x14ac:dyDescent="0.4"/>
    <row r="181" spans="2:6" x14ac:dyDescent="0.35">
      <c r="B181" s="17" t="s">
        <v>101</v>
      </c>
      <c r="C181" s="8" t="s">
        <v>86</v>
      </c>
      <c r="D181" s="8" t="s">
        <v>85</v>
      </c>
      <c r="E181" s="8" t="s">
        <v>88</v>
      </c>
      <c r="F181" s="9" t="s">
        <v>87</v>
      </c>
    </row>
    <row r="182" spans="2:6" x14ac:dyDescent="0.35">
      <c r="B182" s="10" t="str">
        <f>B25</f>
        <v>Fidelity Mid Cap Value Fund</v>
      </c>
      <c r="C182" s="7">
        <f>E25/SUM($E$25:$E$26)</f>
        <v>0.5</v>
      </c>
      <c r="D182" s="7">
        <f>F25/SUM($F$25:$F$26)</f>
        <v>0.33333333333333337</v>
      </c>
      <c r="E182" s="7">
        <f>I25</f>
        <v>-7.5953483675488598E-2</v>
      </c>
      <c r="F182" s="11">
        <f>K25</f>
        <v>-7.9037529435223797E-2</v>
      </c>
    </row>
    <row r="183" spans="2:6" x14ac:dyDescent="0.35">
      <c r="B183" s="10" t="str">
        <f>B26</f>
        <v>Franklin Mutual U.S. Value Fund</v>
      </c>
      <c r="C183" s="7">
        <f>E26/SUM($E$25:$E$26)</f>
        <v>0.5</v>
      </c>
      <c r="D183" s="7">
        <f>F26/SUM($F$25:$F$26)</f>
        <v>0.66666666666666674</v>
      </c>
      <c r="E183" s="7">
        <f>E182</f>
        <v>-7.5953483675488598E-2</v>
      </c>
      <c r="F183" s="11">
        <f>K26</f>
        <v>-7.8960806042673595E-2</v>
      </c>
    </row>
    <row r="184" spans="2:6" x14ac:dyDescent="0.35">
      <c r="B184" s="10"/>
      <c r="C184" s="7"/>
      <c r="D184" s="7"/>
      <c r="E184" s="7"/>
      <c r="F184" s="11"/>
    </row>
    <row r="185" spans="2:6" x14ac:dyDescent="0.35">
      <c r="B185" s="10"/>
      <c r="C185" s="7"/>
      <c r="D185" s="7"/>
      <c r="E185" s="7"/>
      <c r="F185" s="11"/>
    </row>
    <row r="186" spans="2:6" x14ac:dyDescent="0.35">
      <c r="B186" s="10"/>
      <c r="C186" s="7"/>
      <c r="D186" s="7"/>
      <c r="E186" s="7"/>
      <c r="F186" s="11"/>
    </row>
    <row r="187" spans="2:6" x14ac:dyDescent="0.35">
      <c r="B187" s="12"/>
      <c r="F187" s="13"/>
    </row>
    <row r="188" spans="2:6" x14ac:dyDescent="0.35">
      <c r="B188" s="12"/>
      <c r="C188" t="s">
        <v>87</v>
      </c>
      <c r="D188" t="s">
        <v>88</v>
      </c>
      <c r="F188" s="13"/>
    </row>
    <row r="189" spans="2:6" x14ac:dyDescent="0.35">
      <c r="B189" s="12" t="s">
        <v>85</v>
      </c>
      <c r="C189">
        <f>SUMPRODUCT(D182:D186,F182:F186)</f>
        <v>-7.898638050685701E-2</v>
      </c>
      <c r="D189">
        <f>SUMPRODUCT(D182:D186,E182:E186)</f>
        <v>-7.5953483675488598E-2</v>
      </c>
      <c r="F189" s="13"/>
    </row>
    <row r="190" spans="2:6" x14ac:dyDescent="0.35">
      <c r="B190" s="12" t="s">
        <v>86</v>
      </c>
      <c r="C190">
        <f>SUMPRODUCT(C182:C186,F182:F186)</f>
        <v>-7.8999167738948689E-2</v>
      </c>
      <c r="D190">
        <f>SUMPRODUCT(C182:C186,E182:E186)</f>
        <v>-7.5953483675488598E-2</v>
      </c>
      <c r="F190" s="13"/>
    </row>
    <row r="191" spans="2:6" x14ac:dyDescent="0.35">
      <c r="B191" s="12"/>
      <c r="F191" s="13"/>
    </row>
    <row r="192" spans="2:6" ht="29" x14ac:dyDescent="0.35">
      <c r="B192" s="10"/>
      <c r="C192" s="7" t="s">
        <v>89</v>
      </c>
      <c r="D192" s="7" t="s">
        <v>93</v>
      </c>
      <c r="E192" s="7" t="s">
        <v>91</v>
      </c>
      <c r="F192" s="11" t="s">
        <v>92</v>
      </c>
    </row>
    <row r="193" spans="2:6" x14ac:dyDescent="0.35">
      <c r="B193" s="12" t="str">
        <f>B182</f>
        <v>Fidelity Mid Cap Value Fund</v>
      </c>
      <c r="C193">
        <f>(D182-C182)*(E182-$D$190)</f>
        <v>0</v>
      </c>
      <c r="D193">
        <f>C182*(F182-E182)</f>
        <v>-1.5420228798675994E-3</v>
      </c>
      <c r="E193">
        <f>(D182-C182)*(F182-E182)</f>
        <v>5.1400762662253308E-4</v>
      </c>
      <c r="F193" s="13">
        <f>SUM(C193:E193)</f>
        <v>-1.0280152532450664E-3</v>
      </c>
    </row>
    <row r="194" spans="2:6" x14ac:dyDescent="0.35">
      <c r="B194" s="12" t="str">
        <f>B183</f>
        <v>Franklin Mutual U.S. Value Fund</v>
      </c>
      <c r="C194">
        <f>(D183-C183)*(E183-$D$190)</f>
        <v>0</v>
      </c>
      <c r="D194">
        <f>C183*(F183-E183)</f>
        <v>-1.5036611835924987E-3</v>
      </c>
      <c r="E194">
        <f>(D183-C183)*(F183-E183)</f>
        <v>-5.0122039453083316E-4</v>
      </c>
      <c r="F194" s="13">
        <f>SUM(C194:E194)</f>
        <v>-2.0048815781233318E-3</v>
      </c>
    </row>
    <row r="195" spans="2:6" x14ac:dyDescent="0.35">
      <c r="B195" s="12"/>
      <c r="F195" s="13"/>
    </row>
    <row r="196" spans="2:6" x14ac:dyDescent="0.35">
      <c r="B196" s="12"/>
      <c r="F196" s="13"/>
    </row>
    <row r="197" spans="2:6" x14ac:dyDescent="0.35">
      <c r="B197" s="12"/>
      <c r="F197" s="13"/>
    </row>
    <row r="198" spans="2:6" ht="15" thickBot="1" x14ac:dyDescent="0.4">
      <c r="B198" s="14" t="s">
        <v>92</v>
      </c>
      <c r="C198" s="15">
        <f>SUM(C193:C197)</f>
        <v>0</v>
      </c>
      <c r="D198" s="15">
        <f>SUM(D193:D197)</f>
        <v>-3.0456840634600982E-3</v>
      </c>
      <c r="E198" s="15">
        <f>SUM(E193:E197)</f>
        <v>1.2787232091699915E-5</v>
      </c>
      <c r="F198" s="16">
        <f>SUM(F193:F197)</f>
        <v>-3.0328968313683979E-3</v>
      </c>
    </row>
    <row r="201" spans="2:6" ht="15" thickBot="1" x14ac:dyDescent="0.4"/>
    <row r="202" spans="2:6" x14ac:dyDescent="0.35">
      <c r="B202" s="17" t="s">
        <v>102</v>
      </c>
      <c r="C202" s="8" t="s">
        <v>86</v>
      </c>
      <c r="D202" s="8" t="s">
        <v>85</v>
      </c>
      <c r="E202" s="8" t="s">
        <v>88</v>
      </c>
      <c r="F202" s="9" t="s">
        <v>87</v>
      </c>
    </row>
    <row r="203" spans="2:6" x14ac:dyDescent="0.35">
      <c r="B203" s="10" t="str">
        <f>B27</f>
        <v>Goldman Sachs Mid Cap Growth Fund</v>
      </c>
      <c r="C203" s="7">
        <f>E27/SUM($E$27:$E$30)</f>
        <v>0.25</v>
      </c>
      <c r="D203" s="7">
        <f>F27/SUM($F$27:$F$30)</f>
        <v>0.125</v>
      </c>
      <c r="E203" s="7">
        <f>I27</f>
        <v>-6.4168359284839896E-2</v>
      </c>
      <c r="F203" s="11">
        <f>K27</f>
        <v>-6.9420915578466497E-2</v>
      </c>
    </row>
    <row r="204" spans="2:6" x14ac:dyDescent="0.35">
      <c r="B204" s="10" t="str">
        <f>B28</f>
        <v>Great-West T. Rowe Price Mid Cap Growth Fund</v>
      </c>
      <c r="C204" s="7">
        <f>E28/SUM($E$27:$E$30)</f>
        <v>0.25</v>
      </c>
      <c r="D204" s="7">
        <f>F28/SUM($F$27:$F$30)</f>
        <v>0.125</v>
      </c>
      <c r="E204" s="7">
        <f>E203</f>
        <v>-6.4168359284839896E-2</v>
      </c>
      <c r="F204" s="11">
        <f>K28</f>
        <v>-5.1620691752874502E-2</v>
      </c>
    </row>
    <row r="205" spans="2:6" x14ac:dyDescent="0.35">
      <c r="B205" s="10" t="str">
        <f>B29</f>
        <v>Guggenheim StylePlus - Mid Growth Fund</v>
      </c>
      <c r="C205" s="7">
        <f>E29/SUM($E$27:$E$30)</f>
        <v>0.25</v>
      </c>
      <c r="D205" s="7">
        <f>F29/SUM($F$27:$F$30)</f>
        <v>0.125</v>
      </c>
      <c r="E205" s="7">
        <f>E204</f>
        <v>-6.4168359284839896E-2</v>
      </c>
      <c r="F205" s="11">
        <f>K29</f>
        <v>-7.5722593691481099E-2</v>
      </c>
    </row>
    <row r="206" spans="2:6" x14ac:dyDescent="0.35">
      <c r="B206" s="10" t="str">
        <f>B30</f>
        <v>ARK Innovation ETF</v>
      </c>
      <c r="C206" s="7">
        <f>E30/SUM($E$27:$E$30)</f>
        <v>0.25</v>
      </c>
      <c r="D206" s="7">
        <f>F30/SUM($F$27:$F$30)</f>
        <v>0.625</v>
      </c>
      <c r="E206" s="7">
        <f>E205</f>
        <v>-6.4168359284839896E-2</v>
      </c>
      <c r="F206" s="11">
        <f>K30</f>
        <v>-2.1090090352196601E-2</v>
      </c>
    </row>
    <row r="207" spans="2:6" x14ac:dyDescent="0.35">
      <c r="B207" s="10"/>
      <c r="C207" s="7"/>
      <c r="D207" s="7"/>
      <c r="E207" s="7"/>
      <c r="F207" s="11"/>
    </row>
    <row r="208" spans="2:6" x14ac:dyDescent="0.35">
      <c r="B208" s="12"/>
      <c r="F208" s="13"/>
    </row>
    <row r="209" spans="2:6" x14ac:dyDescent="0.35">
      <c r="B209" s="12"/>
      <c r="C209" t="s">
        <v>87</v>
      </c>
      <c r="D209" t="s">
        <v>88</v>
      </c>
      <c r="F209" s="13"/>
    </row>
    <row r="210" spans="2:6" x14ac:dyDescent="0.35">
      <c r="B210" s="12" t="s">
        <v>85</v>
      </c>
      <c r="C210">
        <f>SUMPRODUCT(D203:D207,F203:F207)</f>
        <v>-3.7776831597975638E-2</v>
      </c>
      <c r="D210">
        <f>SUMPRODUCT(D203:D207,E203:E207)</f>
        <v>-6.4168359284839896E-2</v>
      </c>
      <c r="F210" s="13"/>
    </row>
    <row r="211" spans="2:6" x14ac:dyDescent="0.35">
      <c r="B211" s="12" t="s">
        <v>86</v>
      </c>
      <c r="C211">
        <f>SUMPRODUCT(C203:C207,F203:F207)</f>
        <v>-5.4463572843754679E-2</v>
      </c>
      <c r="D211">
        <f>SUMPRODUCT(C203:C207,E203:E207)</f>
        <v>-6.4168359284839896E-2</v>
      </c>
      <c r="F211" s="13"/>
    </row>
    <row r="212" spans="2:6" x14ac:dyDescent="0.35">
      <c r="B212" s="12"/>
      <c r="F212" s="13"/>
    </row>
    <row r="213" spans="2:6" ht="29" x14ac:dyDescent="0.35">
      <c r="B213" s="10"/>
      <c r="C213" s="7" t="s">
        <v>89</v>
      </c>
      <c r="D213" s="7" t="s">
        <v>93</v>
      </c>
      <c r="E213" s="7" t="s">
        <v>91</v>
      </c>
      <c r="F213" s="11" t="s">
        <v>92</v>
      </c>
    </row>
    <row r="214" spans="2:6" x14ac:dyDescent="0.35">
      <c r="B214" s="12" t="str">
        <f>B203</f>
        <v>Goldman Sachs Mid Cap Growth Fund</v>
      </c>
      <c r="C214">
        <f>(D203-C203)*(E203-$D$211)</f>
        <v>0</v>
      </c>
      <c r="D214">
        <f>C203*(F203-E203)</f>
        <v>-1.3131390734066502E-3</v>
      </c>
      <c r="E214">
        <f>(D203-C203)*(F203-E203)</f>
        <v>6.5656953670332509E-4</v>
      </c>
      <c r="F214" s="13">
        <f>SUM(C214:E214)</f>
        <v>-6.5656953670332509E-4</v>
      </c>
    </row>
    <row r="215" spans="2:6" x14ac:dyDescent="0.35">
      <c r="B215" s="12" t="str">
        <f>B204</f>
        <v>Great-West T. Rowe Price Mid Cap Growth Fund</v>
      </c>
      <c r="C215">
        <f>(D204-C204)*(E204-$D$211)</f>
        <v>0</v>
      </c>
      <c r="D215">
        <f>C204*(F204-E204)</f>
        <v>3.1369168829913485E-3</v>
      </c>
      <c r="E215">
        <f>(D204-C204)*(F204-E204)</f>
        <v>-1.5684584414956742E-3</v>
      </c>
      <c r="F215" s="13">
        <f>SUM(C215:E215)</f>
        <v>1.5684584414956742E-3</v>
      </c>
    </row>
    <row r="216" spans="2:6" x14ac:dyDescent="0.35">
      <c r="B216" s="12" t="str">
        <f>B205</f>
        <v>Guggenheim StylePlus - Mid Growth Fund</v>
      </c>
      <c r="C216">
        <f>(D205-C205)*(E205-$D$211)</f>
        <v>0</v>
      </c>
      <c r="D216">
        <f>C205*(F205-E205)</f>
        <v>-2.8885586016603008E-3</v>
      </c>
      <c r="E216">
        <f>(D205-C205)*(F205-E205)</f>
        <v>1.4442793008301504E-3</v>
      </c>
      <c r="F216" s="13">
        <f>SUM(C216:E216)</f>
        <v>-1.4442793008301504E-3</v>
      </c>
    </row>
    <row r="217" spans="2:6" x14ac:dyDescent="0.35">
      <c r="B217" s="12" t="str">
        <f>B206</f>
        <v>ARK Innovation ETF</v>
      </c>
      <c r="C217">
        <f>(D206-C206)*(E206-$D$211)</f>
        <v>0</v>
      </c>
      <c r="D217">
        <f>C206*(F206-E206)</f>
        <v>1.0769567233160825E-2</v>
      </c>
      <c r="E217">
        <f>(D206-C206)*(F206-E206)</f>
        <v>1.6154350849741237E-2</v>
      </c>
      <c r="F217" s="13">
        <f>SUM(C217:E217)</f>
        <v>2.6923918082902062E-2</v>
      </c>
    </row>
    <row r="218" spans="2:6" x14ac:dyDescent="0.35">
      <c r="B218" s="12"/>
      <c r="F218" s="13"/>
    </row>
    <row r="219" spans="2:6" ht="15" thickBot="1" x14ac:dyDescent="0.4">
      <c r="B219" s="14" t="s">
        <v>92</v>
      </c>
      <c r="C219" s="15">
        <f>SUM(C214:C218)</f>
        <v>0</v>
      </c>
      <c r="D219" s="15">
        <f>SUM(D214:D218)</f>
        <v>9.7047864410852221E-3</v>
      </c>
      <c r="E219" s="15">
        <f>SUM(E214:E218)</f>
        <v>1.6686741245779037E-2</v>
      </c>
      <c r="F219" s="16">
        <f>SUM(F214:F218)</f>
        <v>2.6391527686864261E-2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FinalProject_Part1_Calculations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murray</dc:creator>
  <cp:lastModifiedBy>smmurray</cp:lastModifiedBy>
  <dcterms:created xsi:type="dcterms:W3CDTF">2022-05-30T04:59:11Z</dcterms:created>
  <dcterms:modified xsi:type="dcterms:W3CDTF">2025-03-04T19:46:19Z</dcterms:modified>
</cp:coreProperties>
</file>